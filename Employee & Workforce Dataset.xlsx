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D:\Bootcamp MySkill\Excel (Batch 32)\Personal Task 3 &amp; Post Test 3\"/>
    </mc:Choice>
  </mc:AlternateContent>
  <xr:revisionPtr revIDLastSave="0" documentId="13_ncr:1_{4602EA3E-9544-4E5F-B027-71024E3E8492}" xr6:coauthVersionLast="47" xr6:coauthVersionMax="47" xr10:uidLastSave="{00000000-0000-0000-0000-000000000000}"/>
  <workbookProtection lockStructure="1"/>
  <bookViews>
    <workbookView xWindow="-108" yWindow="-108" windowWidth="23256" windowHeight="12456" xr2:uid="{A132B61E-B8E6-4F42-B0B1-058CCB938B55}"/>
  </bookViews>
  <sheets>
    <sheet name="Data Karyawan" sheetId="2" r:id="rId1"/>
    <sheet name="Master Position" sheetId="5" r:id="rId2"/>
    <sheet name="Master Gender" sheetId="3" r:id="rId3"/>
    <sheet name="Master Salary" sheetId="6" r:id="rId4"/>
    <sheet name="Master Bonus" sheetId="7" r:id="rId5"/>
    <sheet name="Helper" sheetId="10" r:id="rId6"/>
    <sheet name="Dashboard" sheetId="11" r:id="rId7"/>
  </sheets>
  <externalReferences>
    <externalReference r:id="rId8"/>
  </externalReferences>
  <definedNames>
    <definedName name="_xlnm._FilterDatabase" localSheetId="0" hidden="1">'Data Karyawan'!$A$1:$L$124</definedName>
    <definedName name="anscount" hidden="1">2</definedName>
    <definedName name="limcount" hidden="1">2</definedName>
    <definedName name="rngSeasonList">'[1]5. Lists'!$A$2:$A$47</definedName>
    <definedName name="sencount" hidden="1">4</definedName>
    <definedName name="Slicer_Base">#N/A</definedName>
    <definedName name="Slicer_Divisi">#N/A</definedName>
    <definedName name="Slicer_Jabatan">#N/A</definedName>
    <definedName name="Slicer_Tipe_Karyawa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8" i="2" l="1"/>
  <c r="H24" i="2"/>
  <c r="K2" i="2"/>
  <c r="E7" i="11"/>
  <c r="H35" i="2" l="1"/>
  <c r="N7" i="11"/>
  <c r="K9" i="11"/>
  <c r="K7" i="11"/>
  <c r="K5" i="11"/>
  <c r="H9" i="11"/>
  <c r="H7" i="11"/>
  <c r="H5" i="11"/>
  <c r="E9" i="11"/>
  <c r="Q3" i="2"/>
  <c r="Q4" i="2"/>
  <c r="Q5" i="2"/>
  <c r="Q6" i="2"/>
  <c r="Q7" i="2"/>
  <c r="Q8" i="2"/>
  <c r="Q9" i="2"/>
  <c r="Q10" i="2"/>
  <c r="Q11" i="2"/>
  <c r="Q12" i="2"/>
  <c r="Q13" i="2"/>
  <c r="Q14" i="2"/>
  <c r="Q15" i="2"/>
  <c r="Q16" i="2"/>
  <c r="Q17" i="2"/>
  <c r="Q18" i="2"/>
  <c r="Q19" i="2"/>
  <c r="Q20" i="2"/>
  <c r="Q21" i="2"/>
  <c r="Q22" i="2"/>
  <c r="Q23" i="2"/>
  <c r="Q24" i="2"/>
  <c r="Q25" i="2"/>
  <c r="Q26" i="2"/>
  <c r="Q27" i="2"/>
  <c r="Q28" i="2"/>
  <c r="N5" i="11" s="1" a="1"/>
  <c r="N5" i="11" s="1"/>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92" i="2"/>
  <c r="K76" i="2"/>
  <c r="K77" i="2"/>
  <c r="K78" i="2"/>
  <c r="K79" i="2"/>
  <c r="K80" i="2"/>
  <c r="K81" i="2"/>
  <c r="K82" i="2"/>
  <c r="K83" i="2"/>
  <c r="K84" i="2"/>
  <c r="K85" i="2"/>
  <c r="K86" i="2"/>
  <c r="K87" i="2"/>
  <c r="K88" i="2"/>
  <c r="K89" i="2"/>
  <c r="K90" i="2"/>
  <c r="K91" i="2"/>
  <c r="K7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25" i="2"/>
  <c r="K3" i="2"/>
  <c r="K4" i="2"/>
  <c r="K5" i="2"/>
  <c r="K6" i="2"/>
  <c r="K7" i="2"/>
  <c r="K8" i="2"/>
  <c r="K9" i="2"/>
  <c r="K10" i="2"/>
  <c r="K11" i="2"/>
  <c r="K12" i="2"/>
  <c r="K13" i="2"/>
  <c r="K14" i="2"/>
  <c r="K15" i="2"/>
  <c r="K16" i="2"/>
  <c r="K17" i="2"/>
  <c r="K18" i="2"/>
  <c r="K19" i="2"/>
  <c r="K20" i="2"/>
  <c r="K21" i="2"/>
  <c r="K22" i="2"/>
  <c r="K23" i="2"/>
  <c r="K24" i="2"/>
  <c r="H2" i="2"/>
  <c r="P96" i="2"/>
  <c r="P59" i="2"/>
  <c r="O96" i="2"/>
  <c r="O99" i="2"/>
  <c r="O78" i="2"/>
  <c r="O59" i="2"/>
  <c r="O60"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92" i="2"/>
  <c r="H76" i="2"/>
  <c r="H77" i="2"/>
  <c r="H78" i="2"/>
  <c r="H79" i="2"/>
  <c r="H80" i="2"/>
  <c r="H81" i="2"/>
  <c r="H82" i="2"/>
  <c r="H83" i="2"/>
  <c r="H84" i="2"/>
  <c r="H85" i="2"/>
  <c r="H86" i="2"/>
  <c r="H87" i="2"/>
  <c r="H88" i="2"/>
  <c r="H89" i="2"/>
  <c r="H90" i="2"/>
  <c r="H91" i="2"/>
  <c r="H75" i="2"/>
  <c r="H26" i="2"/>
  <c r="H27" i="2"/>
  <c r="H28" i="2"/>
  <c r="H29" i="2"/>
  <c r="H30" i="2"/>
  <c r="H31" i="2"/>
  <c r="H32" i="2"/>
  <c r="H33" i="2"/>
  <c r="H34"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25" i="2"/>
  <c r="H3" i="2"/>
  <c r="H4" i="2"/>
  <c r="H5" i="2"/>
  <c r="H6" i="2"/>
  <c r="H7" i="2"/>
  <c r="H8" i="2"/>
  <c r="H9" i="2"/>
  <c r="H10" i="2"/>
  <c r="H11" i="2"/>
  <c r="H12" i="2"/>
  <c r="H13" i="2"/>
  <c r="H14" i="2"/>
  <c r="H15" i="2"/>
  <c r="H16" i="2"/>
  <c r="H17" i="2"/>
  <c r="H18" i="2"/>
  <c r="H19" i="2"/>
  <c r="H20" i="2"/>
  <c r="H21" i="2"/>
  <c r="H22" i="2"/>
  <c r="H23" i="2"/>
  <c r="N93" i="2"/>
  <c r="P93" i="2" s="1"/>
  <c r="N94" i="2"/>
  <c r="P94" i="2" s="1"/>
  <c r="N95" i="2"/>
  <c r="O95" i="2" s="1"/>
  <c r="N96" i="2"/>
  <c r="N97" i="2"/>
  <c r="P97" i="2" s="1"/>
  <c r="N98" i="2"/>
  <c r="O98" i="2" s="1"/>
  <c r="N99" i="2"/>
  <c r="P99" i="2" s="1"/>
  <c r="N100" i="2"/>
  <c r="O100" i="2" s="1"/>
  <c r="N101" i="2"/>
  <c r="P101" i="2" s="1"/>
  <c r="N102" i="2"/>
  <c r="O102" i="2" s="1"/>
  <c r="N103" i="2"/>
  <c r="O103" i="2" s="1"/>
  <c r="N104" i="2"/>
  <c r="O104" i="2" s="1"/>
  <c r="N105" i="2"/>
  <c r="O105" i="2" s="1"/>
  <c r="N106" i="2"/>
  <c r="P106" i="2" s="1"/>
  <c r="N107" i="2"/>
  <c r="P107" i="2" s="1"/>
  <c r="N108" i="2"/>
  <c r="O108" i="2" s="1"/>
  <c r="N109" i="2"/>
  <c r="O109" i="2" s="1"/>
  <c r="N110" i="2"/>
  <c r="P110" i="2" s="1"/>
  <c r="N111" i="2"/>
  <c r="O111" i="2" s="1"/>
  <c r="N112" i="2"/>
  <c r="O112" i="2" s="1"/>
  <c r="N113" i="2"/>
  <c r="P113" i="2" s="1"/>
  <c r="N114" i="2"/>
  <c r="O114" i="2" s="1"/>
  <c r="N115" i="2"/>
  <c r="P115" i="2" s="1"/>
  <c r="N116" i="2"/>
  <c r="P116" i="2" s="1"/>
  <c r="N117" i="2"/>
  <c r="P117" i="2" s="1"/>
  <c r="N118" i="2"/>
  <c r="P118" i="2" s="1"/>
  <c r="N119" i="2"/>
  <c r="O119" i="2" s="1"/>
  <c r="N120" i="2"/>
  <c r="O120" i="2" s="1"/>
  <c r="N121" i="2"/>
  <c r="O121" i="2" s="1"/>
  <c r="N122" i="2"/>
  <c r="P122" i="2" s="1"/>
  <c r="N123" i="2"/>
  <c r="P123" i="2" s="1"/>
  <c r="N124" i="2"/>
  <c r="O124" i="2" s="1"/>
  <c r="N92" i="2"/>
  <c r="P92" i="2" s="1"/>
  <c r="N76" i="2"/>
  <c r="P76" i="2" s="1"/>
  <c r="N77" i="2"/>
  <c r="O77" i="2" s="1"/>
  <c r="N78" i="2"/>
  <c r="P78" i="2" s="1"/>
  <c r="N79" i="2"/>
  <c r="P79" i="2" s="1"/>
  <c r="N80" i="2"/>
  <c r="O80" i="2" s="1"/>
  <c r="N81" i="2"/>
  <c r="P81" i="2" s="1"/>
  <c r="N82" i="2"/>
  <c r="P82" i="2" s="1"/>
  <c r="N83" i="2"/>
  <c r="P83" i="2" s="1"/>
  <c r="N84" i="2"/>
  <c r="P84" i="2" s="1"/>
  <c r="N85" i="2"/>
  <c r="O85" i="2" s="1"/>
  <c r="N86" i="2"/>
  <c r="O86" i="2" s="1"/>
  <c r="N87" i="2"/>
  <c r="O87" i="2" s="1"/>
  <c r="N88" i="2"/>
  <c r="P88" i="2" s="1"/>
  <c r="N89" i="2"/>
  <c r="P89" i="2" s="1"/>
  <c r="N90" i="2"/>
  <c r="O90" i="2" s="1"/>
  <c r="N91" i="2"/>
  <c r="P91" i="2" s="1"/>
  <c r="N75" i="2"/>
  <c r="P75" i="2" s="1"/>
  <c r="N26" i="2"/>
  <c r="O26" i="2" s="1"/>
  <c r="N27" i="2"/>
  <c r="P27" i="2" s="1"/>
  <c r="N28" i="2"/>
  <c r="N29" i="2"/>
  <c r="O29" i="2" s="1"/>
  <c r="N30" i="2"/>
  <c r="O30" i="2" s="1"/>
  <c r="N31" i="2"/>
  <c r="P31" i="2" s="1"/>
  <c r="N32" i="2"/>
  <c r="P32" i="2" s="1"/>
  <c r="N33" i="2"/>
  <c r="O33" i="2" s="1"/>
  <c r="N34" i="2"/>
  <c r="O34" i="2" s="1"/>
  <c r="N35" i="2"/>
  <c r="O35" i="2" s="1"/>
  <c r="N36" i="2"/>
  <c r="O36" i="2" s="1"/>
  <c r="N37" i="2"/>
  <c r="O37" i="2" s="1"/>
  <c r="N38" i="2"/>
  <c r="P38" i="2" s="1"/>
  <c r="N39" i="2"/>
  <c r="O39" i="2" s="1"/>
  <c r="N40" i="2"/>
  <c r="P40" i="2" s="1"/>
  <c r="N41" i="2"/>
  <c r="O41" i="2" s="1"/>
  <c r="N42" i="2"/>
  <c r="O42" i="2" s="1"/>
  <c r="N43" i="2"/>
  <c r="O43" i="2" s="1"/>
  <c r="N44" i="2"/>
  <c r="P44" i="2" s="1"/>
  <c r="N45" i="2"/>
  <c r="O45" i="2" s="1"/>
  <c r="N46" i="2"/>
  <c r="P46" i="2" s="1"/>
  <c r="N47" i="2"/>
  <c r="O47" i="2" s="1"/>
  <c r="N48" i="2"/>
  <c r="P48" i="2" s="1"/>
  <c r="N49" i="2"/>
  <c r="P49" i="2" s="1"/>
  <c r="N50" i="2"/>
  <c r="O50" i="2" s="1"/>
  <c r="N51" i="2"/>
  <c r="O51" i="2" s="1"/>
  <c r="N52" i="2"/>
  <c r="O52" i="2" s="1"/>
  <c r="N53" i="2"/>
  <c r="P53" i="2" s="1"/>
  <c r="N54" i="2"/>
  <c r="P54" i="2" s="1"/>
  <c r="N55" i="2"/>
  <c r="O55" i="2" s="1"/>
  <c r="N56" i="2"/>
  <c r="P56" i="2" s="1"/>
  <c r="N57" i="2"/>
  <c r="P57" i="2" s="1"/>
  <c r="N58" i="2"/>
  <c r="O58" i="2" s="1"/>
  <c r="N59" i="2"/>
  <c r="N60" i="2"/>
  <c r="P60" i="2" s="1"/>
  <c r="N61" i="2"/>
  <c r="O61" i="2" s="1"/>
  <c r="N62" i="2"/>
  <c r="P62" i="2" s="1"/>
  <c r="N63" i="2"/>
  <c r="P63" i="2" s="1"/>
  <c r="N64" i="2"/>
  <c r="P64" i="2" s="1"/>
  <c r="N65" i="2"/>
  <c r="O65" i="2" s="1"/>
  <c r="N66" i="2"/>
  <c r="O66" i="2" s="1"/>
  <c r="N67" i="2"/>
  <c r="O67" i="2" s="1"/>
  <c r="N68" i="2"/>
  <c r="O68" i="2" s="1"/>
  <c r="N69" i="2"/>
  <c r="P69" i="2" s="1"/>
  <c r="N70" i="2"/>
  <c r="P70" i="2" s="1"/>
  <c r="N71" i="2"/>
  <c r="O71" i="2" s="1"/>
  <c r="N72" i="2"/>
  <c r="O72" i="2" s="1"/>
  <c r="N73" i="2"/>
  <c r="O73" i="2" s="1"/>
  <c r="N74" i="2"/>
  <c r="O74" i="2" s="1"/>
  <c r="N25" i="2"/>
  <c r="O25" i="2" s="1"/>
  <c r="N2" i="2"/>
  <c r="O2" i="2" s="1"/>
  <c r="N3" i="2"/>
  <c r="P3" i="2" s="1"/>
  <c r="N4" i="2"/>
  <c r="P4" i="2" s="1"/>
  <c r="N5" i="2"/>
  <c r="P5" i="2" s="1"/>
  <c r="N6" i="2"/>
  <c r="P6" i="2" s="1"/>
  <c r="N7" i="2"/>
  <c r="P7" i="2" s="1"/>
  <c r="N8" i="2"/>
  <c r="P8" i="2" s="1"/>
  <c r="N9" i="2"/>
  <c r="O9" i="2" s="1"/>
  <c r="N10" i="2"/>
  <c r="O10" i="2" s="1"/>
  <c r="N11" i="2"/>
  <c r="P11" i="2" s="1"/>
  <c r="N12" i="2"/>
  <c r="P12" i="2" s="1"/>
  <c r="N13" i="2"/>
  <c r="P13" i="2" s="1"/>
  <c r="N14" i="2"/>
  <c r="P14" i="2" s="1"/>
  <c r="N15" i="2"/>
  <c r="P15" i="2" s="1"/>
  <c r="N16" i="2"/>
  <c r="P16" i="2" s="1"/>
  <c r="N17" i="2"/>
  <c r="O17" i="2" s="1"/>
  <c r="N18" i="2"/>
  <c r="O18" i="2" s="1"/>
  <c r="N19" i="2"/>
  <c r="P19" i="2" s="1"/>
  <c r="N20" i="2"/>
  <c r="P20" i="2" s="1"/>
  <c r="N21" i="2"/>
  <c r="P21" i="2" s="1"/>
  <c r="N22" i="2"/>
  <c r="P22" i="2" s="1"/>
  <c r="N23" i="2"/>
  <c r="P23" i="2" s="1"/>
  <c r="N24" i="2"/>
  <c r="P24" i="2" s="1"/>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92" i="2"/>
  <c r="M76" i="2"/>
  <c r="M77" i="2"/>
  <c r="M78" i="2"/>
  <c r="M79" i="2"/>
  <c r="M80" i="2"/>
  <c r="M81" i="2"/>
  <c r="M82" i="2"/>
  <c r="M83" i="2"/>
  <c r="M84" i="2"/>
  <c r="M85" i="2"/>
  <c r="M86" i="2"/>
  <c r="M87" i="2"/>
  <c r="M88" i="2"/>
  <c r="M89" i="2"/>
  <c r="M90" i="2"/>
  <c r="M91" i="2"/>
  <c r="M7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25" i="2"/>
  <c r="M3" i="2"/>
  <c r="M4" i="2"/>
  <c r="M5" i="2"/>
  <c r="M6" i="2"/>
  <c r="M7" i="2"/>
  <c r="M8" i="2"/>
  <c r="M9" i="2"/>
  <c r="M10" i="2"/>
  <c r="M11" i="2"/>
  <c r="M12" i="2"/>
  <c r="M13" i="2"/>
  <c r="M14" i="2"/>
  <c r="M15" i="2"/>
  <c r="M16" i="2"/>
  <c r="M17" i="2"/>
  <c r="M18" i="2"/>
  <c r="M19" i="2"/>
  <c r="M20" i="2"/>
  <c r="M21" i="2"/>
  <c r="M22" i="2"/>
  <c r="M23" i="2"/>
  <c r="M24" i="2"/>
  <c r="M2" i="2"/>
  <c r="N9" i="11" l="1"/>
  <c r="O27" i="2"/>
  <c r="P29" i="2"/>
  <c r="P30" i="2"/>
  <c r="O97" i="2"/>
  <c r="P109" i="2"/>
  <c r="O31" i="2"/>
  <c r="O28" i="2"/>
  <c r="O12" i="2"/>
  <c r="P25" i="2"/>
  <c r="P98" i="2"/>
  <c r="O11" i="2"/>
  <c r="O70" i="2"/>
  <c r="P37" i="2"/>
  <c r="P100" i="2"/>
  <c r="O69" i="2"/>
  <c r="P34" i="2"/>
  <c r="P104" i="2"/>
  <c r="P103" i="2"/>
  <c r="P102" i="2"/>
  <c r="O63" i="2"/>
  <c r="P33" i="2"/>
  <c r="O62" i="2"/>
  <c r="O75" i="2"/>
  <c r="O93" i="2"/>
  <c r="O89" i="2"/>
  <c r="P73" i="2"/>
  <c r="O88" i="2"/>
  <c r="P72" i="2"/>
  <c r="O94" i="2"/>
  <c r="O91" i="2"/>
  <c r="O57" i="2"/>
  <c r="O76" i="2"/>
  <c r="O56" i="2"/>
  <c r="O92" i="2"/>
  <c r="O54" i="2"/>
  <c r="O123" i="2"/>
  <c r="O53" i="2"/>
  <c r="O122" i="2"/>
  <c r="O16" i="2"/>
  <c r="O40" i="2"/>
  <c r="O110" i="2"/>
  <c r="O15" i="2"/>
  <c r="O38" i="2"/>
  <c r="O14" i="2"/>
  <c r="O106" i="2"/>
  <c r="O118" i="2"/>
  <c r="P120" i="2"/>
  <c r="P119" i="2"/>
  <c r="O19" i="2"/>
  <c r="O115" i="2"/>
  <c r="P47" i="2"/>
  <c r="P67" i="2"/>
  <c r="P43" i="2"/>
  <c r="P86" i="2"/>
  <c r="P114" i="2"/>
  <c r="P66" i="2"/>
  <c r="P41" i="2"/>
  <c r="P85" i="2"/>
  <c r="P112" i="2"/>
  <c r="O46" i="2"/>
  <c r="O84" i="2"/>
  <c r="O107" i="2"/>
  <c r="P65" i="2"/>
  <c r="P51" i="2"/>
  <c r="O116" i="2"/>
  <c r="P50" i="2"/>
  <c r="O113" i="2"/>
  <c r="P45" i="2"/>
  <c r="O3" i="2"/>
  <c r="O44" i="2"/>
  <c r="O82" i="2"/>
  <c r="O81" i="2"/>
  <c r="O79" i="2"/>
  <c r="P61" i="2"/>
  <c r="P35" i="2"/>
  <c r="P80" i="2"/>
  <c r="O23" i="2"/>
  <c r="O7" i="2"/>
  <c r="O64" i="2"/>
  <c r="O48" i="2"/>
  <c r="O32" i="2"/>
  <c r="O83" i="2"/>
  <c r="O117" i="2"/>
  <c r="O101" i="2"/>
  <c r="P17" i="2"/>
  <c r="P74" i="2"/>
  <c r="P58" i="2"/>
  <c r="P42" i="2"/>
  <c r="P26" i="2"/>
  <c r="P77" i="2"/>
  <c r="P111" i="2"/>
  <c r="P95" i="2"/>
  <c r="P10" i="2"/>
  <c r="P9" i="2"/>
  <c r="O24" i="2"/>
  <c r="O8" i="2"/>
  <c r="O49" i="2"/>
  <c r="P18" i="2"/>
  <c r="O22" i="2"/>
  <c r="O6" i="2"/>
  <c r="O21" i="2"/>
  <c r="O5" i="2"/>
  <c r="O20" i="2"/>
  <c r="O4" i="2"/>
  <c r="P71" i="2"/>
  <c r="P55" i="2"/>
  <c r="P39" i="2"/>
  <c r="P90" i="2"/>
  <c r="P124" i="2"/>
  <c r="P108" i="2"/>
  <c r="P2" i="2"/>
  <c r="P68" i="2"/>
  <c r="P52" i="2"/>
  <c r="P36" i="2"/>
  <c r="P87" i="2"/>
  <c r="P121" i="2"/>
  <c r="P105" i="2"/>
  <c r="O1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<sst xmlns="http://schemas.openxmlformats.org/spreadsheetml/2006/main" count="1394" uniqueCount="387">
  <si>
    <t>Employee Data</t>
  </si>
  <si>
    <t>Base</t>
  </si>
  <si>
    <t>No ID</t>
  </si>
  <si>
    <t>Nama Karyawan</t>
  </si>
  <si>
    <t>Tipe Karyawan</t>
  </si>
  <si>
    <t>Mulai Bekerja</t>
  </si>
  <si>
    <t>Jabatan</t>
  </si>
  <si>
    <t>Divisi</t>
  </si>
  <si>
    <t>Agama</t>
  </si>
  <si>
    <t>Jenis Kelamin</t>
  </si>
  <si>
    <t>Tempat</t>
  </si>
  <si>
    <t>Tanggal Lahir</t>
  </si>
  <si>
    <t>N1707</t>
  </si>
  <si>
    <t>Dewi Kartini</t>
  </si>
  <si>
    <t>JAKARTA</t>
  </si>
  <si>
    <t>Kontrak</t>
  </si>
  <si>
    <t>Senior Staff</t>
  </si>
  <si>
    <t>Marketing</t>
  </si>
  <si>
    <t>Kristen</t>
  </si>
  <si>
    <t>Perempuan</t>
  </si>
  <si>
    <t>JAKARTA PUSAT</t>
  </si>
  <si>
    <t>N2498</t>
  </si>
  <si>
    <t>Siti Rahayu</t>
  </si>
  <si>
    <t>Islam</t>
  </si>
  <si>
    <t>BANDUNG</t>
  </si>
  <si>
    <t>E2513</t>
  </si>
  <si>
    <t>Lina Puspitasari</t>
  </si>
  <si>
    <t>Karyawan Tetap</t>
  </si>
  <si>
    <t>Supervisor</t>
  </si>
  <si>
    <t>BOGOR</t>
  </si>
  <si>
    <t>N1674</t>
  </si>
  <si>
    <t>Ratna Kusuma</t>
  </si>
  <si>
    <t>Staff</t>
  </si>
  <si>
    <t>Finance</t>
  </si>
  <si>
    <t>E2640</t>
  </si>
  <si>
    <t>Chicco Jerikho</t>
  </si>
  <si>
    <t>General Manager</t>
  </si>
  <si>
    <t>LAMPUNG</t>
  </si>
  <si>
    <t>N2016</t>
  </si>
  <si>
    <t>Arifin Sutedjo</t>
  </si>
  <si>
    <t>E2054</t>
  </si>
  <si>
    <t>Agus Suharto</t>
  </si>
  <si>
    <t>Senior Manager</t>
  </si>
  <si>
    <t>PURBALINGGA</t>
  </si>
  <si>
    <t>E1881</t>
  </si>
  <si>
    <t>Lita Damayanti</t>
  </si>
  <si>
    <t>TANGERANG</t>
  </si>
  <si>
    <t>E2161</t>
  </si>
  <si>
    <t>Eko Pramono</t>
  </si>
  <si>
    <t>N2031</t>
  </si>
  <si>
    <t>Lina Handayani</t>
  </si>
  <si>
    <t>Production</t>
  </si>
  <si>
    <t>N1173</t>
  </si>
  <si>
    <t>Chicco Kurniawan</t>
  </si>
  <si>
    <t>Sales</t>
  </si>
  <si>
    <t>E1005</t>
  </si>
  <si>
    <t>Yanto Setiawan</t>
  </si>
  <si>
    <t>Human Resources</t>
  </si>
  <si>
    <t>TASIKMALAYA</t>
  </si>
  <si>
    <t>E1063</t>
  </si>
  <si>
    <t>Joko Nugroho</t>
  </si>
  <si>
    <t>E1974</t>
  </si>
  <si>
    <t>Arianto Wibowo</t>
  </si>
  <si>
    <t>MEDAN</t>
  </si>
  <si>
    <t>E0828</t>
  </si>
  <si>
    <t>Erwin Gutawa</t>
  </si>
  <si>
    <t>BATANG</t>
  </si>
  <si>
    <t>E1054</t>
  </si>
  <si>
    <t>Aliando Syarief</t>
  </si>
  <si>
    <t>E1703</t>
  </si>
  <si>
    <t>Tuti Rahmawati</t>
  </si>
  <si>
    <t>KARANGANYAR</t>
  </si>
  <si>
    <t>E2840</t>
  </si>
  <si>
    <t>Eko Sutomo</t>
  </si>
  <si>
    <t>TOMOHON</t>
  </si>
  <si>
    <t>E1861</t>
  </si>
  <si>
    <t>Rina Kurniati</t>
  </si>
  <si>
    <t>Junior Manager</t>
  </si>
  <si>
    <t>N1860</t>
  </si>
  <si>
    <t>Arif Setiawan</t>
  </si>
  <si>
    <t>N0951</t>
  </si>
  <si>
    <t>Choky Sitohang</t>
  </si>
  <si>
    <t>BLITAR</t>
  </si>
  <si>
    <t>E2575</t>
  </si>
  <si>
    <t>Retno Cahyani</t>
  </si>
  <si>
    <t>PALEMBANG</t>
  </si>
  <si>
    <t>N2619</t>
  </si>
  <si>
    <t>Benyamin Sueb</t>
  </si>
  <si>
    <t>E2321</t>
  </si>
  <si>
    <t>Rudi Haryanto</t>
  </si>
  <si>
    <t>E2620</t>
  </si>
  <si>
    <t>Alvaro Maldini</t>
  </si>
  <si>
    <t>KUNINGAN</t>
  </si>
  <si>
    <t>E1690</t>
  </si>
  <si>
    <t>Wati Sulistiani</t>
  </si>
  <si>
    <t>E1064</t>
  </si>
  <si>
    <t>Budi Santoso</t>
  </si>
  <si>
    <t>INDRAMAYU</t>
  </si>
  <si>
    <t>E1065</t>
  </si>
  <si>
    <t>Indah Wulandari</t>
  </si>
  <si>
    <t>E1841</t>
  </si>
  <si>
    <t>Dodit Mulyanto</t>
  </si>
  <si>
    <t>E2867</t>
  </si>
  <si>
    <t>Putri Sari</t>
  </si>
  <si>
    <t>N1720</t>
  </si>
  <si>
    <t>Al Ghazali</t>
  </si>
  <si>
    <t>TRENGGALEK</t>
  </si>
  <si>
    <t>E1880</t>
  </si>
  <si>
    <t>Retno Sulistyowati</t>
  </si>
  <si>
    <t>E1929</t>
  </si>
  <si>
    <t>Alvin Adam</t>
  </si>
  <si>
    <t>GROBOGAN</t>
  </si>
  <si>
    <t>E0911</t>
  </si>
  <si>
    <t>Nita Permata</t>
  </si>
  <si>
    <t>SIDOARJO</t>
  </si>
  <si>
    <t>E2170</t>
  </si>
  <si>
    <t>Bertrand Antolin</t>
  </si>
  <si>
    <t>E1111</t>
  </si>
  <si>
    <t>Wulan Puspita</t>
  </si>
  <si>
    <t>E1081</t>
  </si>
  <si>
    <t>Maya Wati</t>
  </si>
  <si>
    <t>TAMAN SARI</t>
  </si>
  <si>
    <t>E2134</t>
  </si>
  <si>
    <t>Aaron Ashab</t>
  </si>
  <si>
    <t>PADANG</t>
  </si>
  <si>
    <t>N2584</t>
  </si>
  <si>
    <t>Surya Permana</t>
  </si>
  <si>
    <t>MALANG</t>
  </si>
  <si>
    <t>N2583</t>
  </si>
  <si>
    <t>Retno Purnomo</t>
  </si>
  <si>
    <t>N1453</t>
  </si>
  <si>
    <t>Joko Susanto</t>
  </si>
  <si>
    <t>CEO</t>
  </si>
  <si>
    <t>BANYUWANGI</t>
  </si>
  <si>
    <t>E1491</t>
  </si>
  <si>
    <t>Donny Alamsyah</t>
  </si>
  <si>
    <t>E1490</t>
  </si>
  <si>
    <t>Nia Fitriani</t>
  </si>
  <si>
    <t>E2201</t>
  </si>
  <si>
    <t>Astuti Hartati</t>
  </si>
  <si>
    <t>N1134</t>
  </si>
  <si>
    <t>Rizal Prasetya</t>
  </si>
  <si>
    <t>DENPASAR</t>
  </si>
  <si>
    <t>JEMBER</t>
  </si>
  <si>
    <t>N1068</t>
  </si>
  <si>
    <t>Nita Wulandari</t>
  </si>
  <si>
    <t>SRAGEN</t>
  </si>
  <si>
    <t>E0896</t>
  </si>
  <si>
    <t>Esa Sigit</t>
  </si>
  <si>
    <t>E0931</t>
  </si>
  <si>
    <t>Rika Sari</t>
  </si>
  <si>
    <t>E0813</t>
  </si>
  <si>
    <t>Winda Pertiwi</t>
  </si>
  <si>
    <t>E3144</t>
  </si>
  <si>
    <t>Agus Santoso</t>
  </si>
  <si>
    <t>E3143</t>
  </si>
  <si>
    <t>Rudi Prasetya</t>
  </si>
  <si>
    <t>N2114</t>
  </si>
  <si>
    <t>Dedy Santoso</t>
  </si>
  <si>
    <t>CILACAP</t>
  </si>
  <si>
    <t>E1885</t>
  </si>
  <si>
    <t>Bagus Satria</t>
  </si>
  <si>
    <t>SUMATRA UTARA</t>
  </si>
  <si>
    <t>E2898</t>
  </si>
  <si>
    <t>Ahmad Hidayat</t>
  </si>
  <si>
    <t>N1565</t>
  </si>
  <si>
    <t>Sigit Saputra</t>
  </si>
  <si>
    <t>N2378</t>
  </si>
  <si>
    <t>Agus Nugroho</t>
  </si>
  <si>
    <t>JOMBANG</t>
  </si>
  <si>
    <t>N1191</t>
  </si>
  <si>
    <t>Joko Sutrisno</t>
  </si>
  <si>
    <t>E1601</t>
  </si>
  <si>
    <t>Iwan Prasetyo</t>
  </si>
  <si>
    <t>GRESIK</t>
  </si>
  <si>
    <t>E3140</t>
  </si>
  <si>
    <t>Dodi Nugraha</t>
  </si>
  <si>
    <t>E3142</t>
  </si>
  <si>
    <t>E1604</t>
  </si>
  <si>
    <t>Dian Purnama</t>
  </si>
  <si>
    <t>TUAL</t>
  </si>
  <si>
    <t>E0892</t>
  </si>
  <si>
    <t>Ernest Prakasa</t>
  </si>
  <si>
    <t>E1109</t>
  </si>
  <si>
    <t>Yudi Susilo</t>
  </si>
  <si>
    <t>E2885</t>
  </si>
  <si>
    <t>E1456</t>
  </si>
  <si>
    <t>Rudi Hartono</t>
  </si>
  <si>
    <t>E1393</t>
  </si>
  <si>
    <t>Rani Kartika</t>
  </si>
  <si>
    <t>TULUNGAGUNG</t>
  </si>
  <si>
    <t>E2322</t>
  </si>
  <si>
    <t>Hadi Nugroho</t>
  </si>
  <si>
    <t>E0806</t>
  </si>
  <si>
    <t>Rina Dewi</t>
  </si>
  <si>
    <t>E1866</t>
  </si>
  <si>
    <t>Agung Prasetyo</t>
  </si>
  <si>
    <t>E2600</t>
  </si>
  <si>
    <t>Sari Wulandari</t>
  </si>
  <si>
    <t>DI YOGYAKARTA</t>
  </si>
  <si>
    <t>E0956</t>
  </si>
  <si>
    <t>Wahyu Prasetyo</t>
  </si>
  <si>
    <t>N2070</t>
  </si>
  <si>
    <t>Bhisma Mulia</t>
  </si>
  <si>
    <t>Procurement</t>
  </si>
  <si>
    <t>PURWOKERTO</t>
  </si>
  <si>
    <t>N2777</t>
  </si>
  <si>
    <t>Mega Fitri</t>
  </si>
  <si>
    <t>E1718</t>
  </si>
  <si>
    <t>Bambang Wijaya</t>
  </si>
  <si>
    <t>E1719</t>
  </si>
  <si>
    <t>Maya Lestari</t>
  </si>
  <si>
    <t>E1994</t>
  </si>
  <si>
    <t>Adi Nugroho</t>
  </si>
  <si>
    <t>SEMARANG</t>
  </si>
  <si>
    <t>N0795</t>
  </si>
  <si>
    <t>Dolly Martin</t>
  </si>
  <si>
    <t>TANJUNG KARANG</t>
  </si>
  <si>
    <t>N1708</t>
  </si>
  <si>
    <t>Wulan Indriani</t>
  </si>
  <si>
    <t>E2071</t>
  </si>
  <si>
    <t>Rina Nurhayati</t>
  </si>
  <si>
    <t>E1049</t>
  </si>
  <si>
    <t>Raina Aryani</t>
  </si>
  <si>
    <t>Executive</t>
  </si>
  <si>
    <t>E1227</t>
  </si>
  <si>
    <t>Tari Anggraini</t>
  </si>
  <si>
    <t>E1138</t>
  </si>
  <si>
    <t>Karen Riyanti</t>
  </si>
  <si>
    <t>IT</t>
  </si>
  <si>
    <t>E0991</t>
  </si>
  <si>
    <t>Titin Aryani</t>
  </si>
  <si>
    <t>Data</t>
  </si>
  <si>
    <t>SITUBONDO</t>
  </si>
  <si>
    <t>E2585</t>
  </si>
  <si>
    <t>Ilsa Utami</t>
  </si>
  <si>
    <t>SALATIGA</t>
  </si>
  <si>
    <t>N2803</t>
  </si>
  <si>
    <t>Jessica Hariyah</t>
  </si>
  <si>
    <t>Customer Service</t>
  </si>
  <si>
    <t>E0948</t>
  </si>
  <si>
    <t>Almira Hasanah</t>
  </si>
  <si>
    <t>E1863</t>
  </si>
  <si>
    <t>Sari Astuti</t>
  </si>
  <si>
    <t>E2819</t>
  </si>
  <si>
    <t>Aurora Anggraini</t>
  </si>
  <si>
    <t>N2549</t>
  </si>
  <si>
    <t>Vivi Andriani</t>
  </si>
  <si>
    <t>N1991</t>
  </si>
  <si>
    <t>Eka Nashiruddin</t>
  </si>
  <si>
    <t>E2082</t>
  </si>
  <si>
    <t>Adiarja Sirait</t>
  </si>
  <si>
    <t>E1989</t>
  </si>
  <si>
    <t>Sidiq Pranowo</t>
  </si>
  <si>
    <t>BEKASI</t>
  </si>
  <si>
    <t>E1987</t>
  </si>
  <si>
    <t>Harsana Budiman</t>
  </si>
  <si>
    <t>E2601</t>
  </si>
  <si>
    <t>Galar Halim</t>
  </si>
  <si>
    <t>N1579</t>
  </si>
  <si>
    <t>Kardi Saptono</t>
  </si>
  <si>
    <t>N0867</t>
  </si>
  <si>
    <t>Sabar Situmorang</t>
  </si>
  <si>
    <t>E2389</t>
  </si>
  <si>
    <t>Dimaz Zulkarnain</t>
  </si>
  <si>
    <t>E1175</t>
  </si>
  <si>
    <t>Balapati Prasetya</t>
  </si>
  <si>
    <t>N1378</t>
  </si>
  <si>
    <t>Eja Widodo</t>
  </si>
  <si>
    <t>E2890</t>
  </si>
  <si>
    <t>Prabu Haryanto</t>
  </si>
  <si>
    <t>PACITAN</t>
  </si>
  <si>
    <t>E0967</t>
  </si>
  <si>
    <t>Cayadi Putra</t>
  </si>
  <si>
    <t>SURABAYA</t>
  </si>
  <si>
    <t>N1660</t>
  </si>
  <si>
    <t>Gambira Pranowo</t>
  </si>
  <si>
    <t>E1806</t>
  </si>
  <si>
    <t>Salman Wasita</t>
  </si>
  <si>
    <t>E1036</t>
  </si>
  <si>
    <t>Wardaya Dongoran</t>
  </si>
  <si>
    <t>N2183</t>
  </si>
  <si>
    <t>Kania Permata</t>
  </si>
  <si>
    <t>TEGAL</t>
  </si>
  <si>
    <t>N1723</t>
  </si>
  <si>
    <t>Eva Yolanda</t>
  </si>
  <si>
    <t>CIMAHI</t>
  </si>
  <si>
    <t>N1583</t>
  </si>
  <si>
    <t>Amalia Yuniar</t>
  </si>
  <si>
    <t>E1512</t>
  </si>
  <si>
    <t>Ade Rahayu</t>
  </si>
  <si>
    <t>MAKASAR</t>
  </si>
  <si>
    <t>E2536</t>
  </si>
  <si>
    <t>Zizi Usada</t>
  </si>
  <si>
    <t>Katolik</t>
  </si>
  <si>
    <t>E1062</t>
  </si>
  <si>
    <t>Gaduh Pratama</t>
  </si>
  <si>
    <t>Account Manager</t>
  </si>
  <si>
    <t>E1162</t>
  </si>
  <si>
    <t>Laras Nuraini</t>
  </si>
  <si>
    <t>E1182</t>
  </si>
  <si>
    <t>Cinthia Gunawan</t>
  </si>
  <si>
    <t>TEBING TINGGI</t>
  </si>
  <si>
    <t>E1922</t>
  </si>
  <si>
    <t>Bagiya Sihombing</t>
  </si>
  <si>
    <t>E1735</t>
  </si>
  <si>
    <t>Violet Mentari</t>
  </si>
  <si>
    <t>N2168</t>
  </si>
  <si>
    <t>Paiman Firgantoro</t>
  </si>
  <si>
    <t>E1016</t>
  </si>
  <si>
    <t>Ophelia Mustofa</t>
  </si>
  <si>
    <t>E2527</t>
  </si>
  <si>
    <t>Darmanto Laksita</t>
  </si>
  <si>
    <t>E1900</t>
  </si>
  <si>
    <t>Kenari Rajasa</t>
  </si>
  <si>
    <t>PEKALONGAN</t>
  </si>
  <si>
    <t>E1909</t>
  </si>
  <si>
    <t>Puti Nadine Prakasa</t>
  </si>
  <si>
    <t>N2857</t>
  </si>
  <si>
    <t>Clara Prasetyo</t>
  </si>
  <si>
    <t>N2139</t>
  </si>
  <si>
    <t>Nabila Prakasa</t>
  </si>
  <si>
    <t>N1568</t>
  </si>
  <si>
    <t>Sutan Tirtayasa Wasita</t>
  </si>
  <si>
    <t>N1713</t>
  </si>
  <si>
    <t>Sari Winarno</t>
  </si>
  <si>
    <t>KPI Performance</t>
  </si>
  <si>
    <t>F</t>
  </si>
  <si>
    <t>M</t>
  </si>
  <si>
    <t>Kode Jabatan</t>
  </si>
  <si>
    <t>Gaji</t>
  </si>
  <si>
    <t>Kode</t>
  </si>
  <si>
    <t>CE</t>
  </si>
  <si>
    <t>GM</t>
  </si>
  <si>
    <t>Laki-Laki</t>
  </si>
  <si>
    <t>SM</t>
  </si>
  <si>
    <t>JM</t>
  </si>
  <si>
    <t>SP</t>
  </si>
  <si>
    <t>SS</t>
  </si>
  <si>
    <t>ST</t>
  </si>
  <si>
    <t>Pengali Gaji Bonus</t>
  </si>
  <si>
    <t>Syarat KPI &gt;90%</t>
  </si>
  <si>
    <t>Kode Jenis Kelamin</t>
  </si>
  <si>
    <t>Gaji Bonus</t>
  </si>
  <si>
    <t>Count of Nama Karyawan</t>
  </si>
  <si>
    <t>Row Labels</t>
  </si>
  <si>
    <t>Grand Total</t>
  </si>
  <si>
    <t>Usia</t>
  </si>
  <si>
    <t>Sum of Gaji Bonus</t>
  </si>
  <si>
    <t>2000</t>
  </si>
  <si>
    <t>2002</t>
  </si>
  <si>
    <t>2004</t>
  </si>
  <si>
    <t>2005</t>
  </si>
  <si>
    <t>2006</t>
  </si>
  <si>
    <t>2007</t>
  </si>
  <si>
    <t>2008</t>
  </si>
  <si>
    <t>2009</t>
  </si>
  <si>
    <t>2010</t>
  </si>
  <si>
    <t>2012</t>
  </si>
  <si>
    <t>2013</t>
  </si>
  <si>
    <t>2014</t>
  </si>
  <si>
    <t>2016</t>
  </si>
  <si>
    <t>2017</t>
  </si>
  <si>
    <t>2018</t>
  </si>
  <si>
    <t>2019</t>
  </si>
  <si>
    <t>2020</t>
  </si>
  <si>
    <t>2022</t>
  </si>
  <si>
    <t>2023</t>
  </si>
  <si>
    <t>2024</t>
  </si>
  <si>
    <t>2011</t>
  </si>
  <si>
    <t>2015</t>
  </si>
  <si>
    <t>2021</t>
  </si>
  <si>
    <t>Nama</t>
  </si>
  <si>
    <t>Performa KPI</t>
  </si>
  <si>
    <t>Total Karyawan by Base</t>
  </si>
  <si>
    <t>Distribusi Karyawan by Jenis Kelamin</t>
  </si>
  <si>
    <t>Total Gaji Bonus by Jabatan</t>
  </si>
  <si>
    <t>Tren Jumlah Karyawan by Year</t>
  </si>
  <si>
    <t>Total Karyawan by Divisi</t>
  </si>
  <si>
    <t>Total Karyawan by Jabatan</t>
  </si>
  <si>
    <t>Average of Usia</t>
  </si>
  <si>
    <t>Average of KPI Performance</t>
  </si>
  <si>
    <t>Sum of Total Gaji (Gaji Pokok &amp; Bonus)</t>
  </si>
  <si>
    <t>Total Gaji Pokok by Jabatan</t>
  </si>
  <si>
    <t>Employee &amp; Workforce Monitoring Dashboard</t>
  </si>
  <si>
    <t>Count of Nama Karyawan (Cumulative)</t>
  </si>
  <si>
    <t>Sum of Gaji Pokok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</si>
</sst>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Rp&quot;* #,##0.00_-;\-&quot;Rp&quot;* #,##0.00_-;_-&quot;Rp&quot;* &quot;-&quot;??_-;_-@_-"/>
    <numFmt numFmtId="164" formatCode="&quot; &quot;#,##0_);[Red]\(&quot; &quot;#,##0\)"/>
    <numFmt numFmtId="165" formatCode="0.0%"/>
    <numFmt numFmtId="166" formatCode="#,##0,,\ &quot;Juta&quot;"/>
    <numFmt numFmtId="167" formatCode="[&gt;0]0,,&quot; Juta&quot;;0"/>
    <numFmt numFmtId="168" formatCode="[&gt;=1000000000]#,##0.00,,,&quot; Miliar&quot;;[&gt;=1000000]#,##0.00,,&quot; Juta&quot;"/>
    <numFmt numFmtId="169" formatCode="0.0&quot; Tahun&quot;"/>
  </numFmts>
  <fonts count="12" x14ac:knownFonts="1">
    <font>
      <sz val="11"/>
      <color theme="1"/>
      <name val="Calibri"/>
      <family val="2"/>
      <scheme val="minor"/>
    </font>
    <font>
      <sz val="11"/>
      <color theme="1"/>
      <name val="Calibri"/>
      <family val="2"/>
      <scheme val="minor"/>
    </font>
    <font>
      <sz val="12"/>
      <color theme="1"/>
      <name val="Calibri"/>
      <family val="2"/>
      <scheme val="minor"/>
    </font>
    <font>
      <b/>
      <sz val="18"/>
      <color theme="0"/>
      <name val="Calibri"/>
      <family val="2"/>
      <scheme val="minor"/>
    </font>
    <font>
      <b/>
      <sz val="12"/>
      <color theme="1"/>
      <name val="Calibri"/>
      <family val="2"/>
      <scheme val="minor"/>
    </font>
    <font>
      <b/>
      <sz val="11"/>
      <color theme="0"/>
      <name val="Calibri"/>
      <family val="2"/>
      <scheme val="minor"/>
    </font>
    <font>
      <b/>
      <i/>
      <sz val="12"/>
      <color theme="0"/>
      <name val="Calibri"/>
      <family val="2"/>
      <scheme val="minor"/>
    </font>
    <font>
      <b/>
      <sz val="15"/>
      <color theme="0"/>
      <name val="Calibri"/>
      <family val="2"/>
      <scheme val="minor"/>
    </font>
    <font>
      <b/>
      <sz val="14.5"/>
      <color theme="0"/>
      <name val="Calibri"/>
      <family val="2"/>
      <scheme val="minor"/>
    </font>
    <font>
      <b/>
      <sz val="29.5"/>
      <color theme="0"/>
      <name val="Calibri"/>
      <family val="2"/>
      <scheme val="minor"/>
    </font>
    <font>
      <sz val="14.5"/>
      <color theme="1"/>
      <name val="Calibri"/>
      <family val="2"/>
      <scheme val="minor"/>
    </font>
    <font>
      <sz val="11"/>
      <color theme="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4" tint="0.39997558519241921"/>
        <bgColor indexed="64"/>
      </patternFill>
    </fill>
    <fill>
      <patternFill patternType="solid">
        <fgColor rgb="FF009999"/>
        <bgColor indexed="64"/>
      </patternFill>
    </fill>
    <fill>
      <patternFill patternType="solid">
        <fgColor theme="1" tint="0.34998626667073579"/>
        <bgColor indexed="64"/>
      </patternFill>
    </fill>
    <fill>
      <patternFill patternType="solid">
        <fgColor theme="1"/>
        <bgColor indexed="64"/>
      </patternFill>
    </fill>
    <fill>
      <patternFill patternType="solid">
        <fgColor theme="0"/>
        <bgColor indexed="64"/>
      </patternFill>
    </fill>
    <fill>
      <patternFill patternType="solid">
        <fgColor rgb="FF595959"/>
        <bgColor indexed="64"/>
      </patternFill>
    </fill>
    <fill>
      <patternFill patternType="solid">
        <fgColor rgb="FFF2F2F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1" fillId="0" borderId="0"/>
  </cellStyleXfs>
  <cellXfs count="47">
    <xf numFmtId="0" fontId="0" fillId="0" borderId="0" xfId="0"/>
    <xf numFmtId="0" fontId="2" fillId="0" borderId="0" xfId="1"/>
    <xf numFmtId="0" fontId="4" fillId="0" borderId="0" xfId="1" applyFont="1" applyAlignment="1">
      <alignment vertical="center"/>
    </xf>
    <xf numFmtId="0" fontId="2" fillId="3" borderId="0" xfId="1" applyFill="1"/>
    <xf numFmtId="0" fontId="1" fillId="0" borderId="0" xfId="2"/>
    <xf numFmtId="0" fontId="2" fillId="4" borderId="0" xfId="1" applyFill="1"/>
    <xf numFmtId="0" fontId="0" fillId="0" borderId="0" xfId="0" applyAlignment="1">
      <alignment horizontal="center"/>
    </xf>
    <xf numFmtId="0" fontId="5" fillId="0" borderId="0" xfId="0" applyFont="1" applyAlignment="1">
      <alignment horizontal="center"/>
    </xf>
    <xf numFmtId="0" fontId="6" fillId="0" borderId="0" xfId="1" applyFont="1" applyAlignment="1">
      <alignment horizontal="left" vertical="center"/>
    </xf>
    <xf numFmtId="0" fontId="8" fillId="5" borderId="0" xfId="1" applyFont="1" applyFill="1" applyAlignment="1">
      <alignment horizontal="right" vertical="center"/>
    </xf>
    <xf numFmtId="0" fontId="2" fillId="7" borderId="0" xfId="1" applyFill="1"/>
    <xf numFmtId="0" fontId="0" fillId="2" borderId="0" xfId="0" applyFill="1" applyAlignment="1">
      <alignment vertical="center"/>
    </xf>
    <xf numFmtId="0" fontId="10" fillId="2" borderId="0" xfId="1" applyFont="1" applyFill="1" applyAlignment="1">
      <alignment horizontal="right" vertical="center"/>
    </xf>
    <xf numFmtId="14" fontId="10" fillId="2" borderId="0" xfId="1" applyNumberFormat="1" applyFont="1" applyFill="1" applyAlignment="1">
      <alignment horizontal="right" vertical="center"/>
    </xf>
    <xf numFmtId="44" fontId="10" fillId="2" borderId="0" xfId="1" applyNumberFormat="1" applyFont="1" applyFill="1"/>
    <xf numFmtId="9" fontId="10" fillId="2" borderId="0" xfId="1" applyNumberFormat="1" applyFont="1" applyFill="1"/>
    <xf numFmtId="0" fontId="5" fillId="6" borderId="1" xfId="0" applyFont="1" applyFill="1" applyBorder="1" applyAlignment="1">
      <alignment horizontal="center"/>
    </xf>
    <xf numFmtId="0" fontId="1" fillId="0" borderId="1" xfId="2" applyBorder="1"/>
    <xf numFmtId="14" fontId="1" fillId="0" borderId="1" xfId="2" applyNumberFormat="1" applyBorder="1" applyAlignment="1">
      <alignment horizontal="center"/>
    </xf>
    <xf numFmtId="14" fontId="1" fillId="0" borderId="1" xfId="2" applyNumberFormat="1" applyBorder="1"/>
    <xf numFmtId="9" fontId="0" fillId="0" borderId="1" xfId="0" applyNumberFormat="1" applyBorder="1"/>
    <xf numFmtId="44" fontId="1" fillId="0" borderId="1" xfId="2" applyNumberFormat="1" applyBorder="1"/>
    <xf numFmtId="0" fontId="0" fillId="0" borderId="1" xfId="0" applyBorder="1"/>
    <xf numFmtId="164" fontId="0" fillId="0" borderId="1" xfId="0" applyNumberFormat="1" applyBorder="1"/>
    <xf numFmtId="0" fontId="5" fillId="6" borderId="1" xfId="0" applyFont="1" applyFill="1" applyBorder="1"/>
    <xf numFmtId="0" fontId="0" fillId="0" borderId="1" xfId="0" applyBorder="1" applyAlignment="1">
      <alignment horizontal="center"/>
    </xf>
    <xf numFmtId="0" fontId="10" fillId="9" borderId="0" xfId="1" applyFont="1" applyFill="1" applyAlignment="1" applyProtection="1">
      <alignment horizontal="right" vertical="center"/>
      <protection locked="0"/>
    </xf>
    <xf numFmtId="0" fontId="9" fillId="4" borderId="0" xfId="1" applyFont="1" applyFill="1" applyAlignment="1">
      <alignment horizontal="left" vertical="center" indent="6"/>
    </xf>
    <xf numFmtId="0" fontId="3" fillId="5" borderId="0" xfId="1" applyFont="1" applyFill="1" applyAlignment="1">
      <alignment horizontal="center" vertical="center"/>
    </xf>
    <xf numFmtId="0" fontId="8" fillId="7" borderId="0" xfId="1" applyFont="1" applyFill="1" applyAlignment="1">
      <alignment horizontal="center" vertical="center"/>
    </xf>
    <xf numFmtId="0" fontId="7" fillId="5" borderId="0" xfId="1" applyFont="1" applyFill="1" applyAlignment="1">
      <alignment horizontal="center" vertical="center"/>
    </xf>
    <xf numFmtId="0" fontId="8" fillId="5" borderId="0" xfId="1" applyFont="1" applyFill="1" applyAlignment="1">
      <alignment horizontal="center" vertical="center"/>
    </xf>
    <xf numFmtId="0" fontId="8" fillId="8" borderId="0" xfId="1" applyFont="1" applyFill="1" applyAlignment="1">
      <alignment horizontal="center" vertical="center"/>
    </xf>
    <xf numFmtId="169" fontId="0" fillId="0" borderId="1" xfId="0" applyNumberFormat="1" applyBorder="1" applyAlignment="1">
      <alignment horizontal="right"/>
    </xf>
    <xf numFmtId="165" fontId="0" fillId="0" borderId="1" xfId="0" applyNumberFormat="1" applyBorder="1" applyAlignment="1">
      <alignment horizontal="right"/>
    </xf>
    <xf numFmtId="168" fontId="0" fillId="0" borderId="1" xfId="0" applyNumberFormat="1" applyBorder="1" applyAlignment="1">
      <alignment horizontal="right"/>
    </xf>
    <xf numFmtId="0" fontId="0" fillId="0" borderId="1" xfId="0" applyBorder="1" applyAlignment="1">
      <alignment horizontal="left"/>
    </xf>
    <xf numFmtId="166" fontId="0" fillId="0" borderId="1" xfId="0" applyNumberFormat="1" applyBorder="1"/>
    <xf numFmtId="167" fontId="0" fillId="0" borderId="1" xfId="0" applyNumberFormat="1" applyBorder="1"/>
    <xf numFmtId="0" fontId="0" fillId="0" borderId="1" xfId="0" applyNumberFormat="1" applyBorder="1"/>
    <xf numFmtId="0" fontId="0" fillId="0" borderId="2" xfId="0" applyNumberFormat="1" applyBorder="1"/>
    <xf numFmtId="0" fontId="11" fillId="4" borderId="1" xfId="0" applyFont="1" applyFill="1" applyBorder="1"/>
    <xf numFmtId="0" fontId="11" fillId="4" borderId="1" xfId="0" applyFont="1" applyFill="1" applyBorder="1" applyAlignment="1">
      <alignment horizontal="left"/>
    </xf>
    <xf numFmtId="0" fontId="11" fillId="4" borderId="1" xfId="0" applyNumberFormat="1" applyFont="1" applyFill="1" applyBorder="1"/>
    <xf numFmtId="0" fontId="11" fillId="4" borderId="1" xfId="0" applyFont="1" applyFill="1" applyBorder="1" applyAlignment="1">
      <alignment horizontal="center"/>
    </xf>
    <xf numFmtId="166" fontId="11" fillId="4" borderId="1" xfId="0" applyNumberFormat="1" applyFont="1" applyFill="1" applyBorder="1" applyAlignment="1">
      <alignment horizontal="center"/>
    </xf>
    <xf numFmtId="167" fontId="11" fillId="4" borderId="1" xfId="0" applyNumberFormat="1" applyFont="1" applyFill="1" applyBorder="1"/>
  </cellXfs>
  <cellStyles count="3">
    <cellStyle name="Normal" xfId="0" builtinId="0"/>
    <cellStyle name="Normal 2" xfId="1" xr:uid="{EE6086A6-0608-4148-B401-5AA3D7342327}"/>
    <cellStyle name="Normal 4" xfId="2" xr:uid="{9451B6F3-7A50-49CD-A742-ABB1CCB40E82}"/>
  </cellStyles>
  <dxfs count="797">
    <dxf>
      <font>
        <color theme="0"/>
      </font>
    </dxf>
    <dxf>
      <font>
        <color theme="0"/>
      </font>
    </dxf>
    <dxf>
      <font>
        <color theme="0"/>
      </font>
    </dxf>
    <dxf>
      <fill>
        <patternFill patternType="solid">
          <bgColor rgb="FF009999"/>
        </patternFill>
      </fill>
    </dxf>
    <dxf>
      <fill>
        <patternFill patternType="solid">
          <bgColor rgb="FF009999"/>
        </patternFill>
      </fill>
    </dxf>
    <dxf>
      <fill>
        <patternFill patternType="solid">
          <bgColor rgb="FF009999"/>
        </patternFill>
      </fill>
    </dxf>
    <dxf>
      <font>
        <color theme="0"/>
      </font>
    </dxf>
    <dxf>
      <font>
        <color theme="0"/>
      </font>
    </dxf>
    <dxf>
      <fill>
        <patternFill patternType="solid">
          <bgColor rgb="FF009999"/>
        </patternFill>
      </fill>
    </dxf>
    <dxf>
      <fill>
        <patternFill patternType="solid">
          <bgColor rgb="FF009999"/>
        </patternFill>
      </fill>
    </dxf>
    <dxf>
      <font>
        <color theme="0"/>
      </font>
    </dxf>
    <dxf>
      <font>
        <color theme="0"/>
      </font>
    </dxf>
    <dxf>
      <fill>
        <patternFill patternType="solid">
          <bgColor rgb="FF009999"/>
        </patternFill>
      </fill>
    </dxf>
    <dxf>
      <fill>
        <patternFill patternType="solid">
          <bgColor rgb="FF009999"/>
        </patternFill>
      </fill>
    </dxf>
    <dxf>
      <font>
        <color theme="0"/>
      </font>
    </dxf>
    <dxf>
      <font>
        <color theme="0"/>
      </font>
    </dxf>
    <dxf>
      <font>
        <color theme="0"/>
      </font>
    </dxf>
    <dxf>
      <fill>
        <patternFill patternType="solid">
          <bgColor rgb="FF009999"/>
        </patternFill>
      </fill>
    </dxf>
    <dxf>
      <fill>
        <patternFill patternType="solid">
          <bgColor rgb="FF009999"/>
        </patternFill>
      </fill>
    </dxf>
    <dxf>
      <fill>
        <patternFill patternType="solid">
          <bgColor rgb="FF009999"/>
        </patternFill>
      </fill>
    </dxf>
    <dxf>
      <font>
        <color theme="0"/>
      </font>
    </dxf>
    <dxf>
      <font>
        <color theme="0"/>
      </font>
    </dxf>
    <dxf>
      <font>
        <color theme="0"/>
      </font>
    </dxf>
    <dxf>
      <fill>
        <patternFill patternType="solid">
          <bgColor rgb="FF009999"/>
        </patternFill>
      </fill>
    </dxf>
    <dxf>
      <fill>
        <patternFill patternType="solid">
          <bgColor rgb="FF009999"/>
        </patternFill>
      </fill>
    </dxf>
    <dxf>
      <fill>
        <patternFill patternType="solid">
          <bgColor rgb="FF009999"/>
        </patternFill>
      </fill>
    </dxf>
    <dxf>
      <fill>
        <patternFill patternType="solid">
          <bgColor rgb="FF009999"/>
        </patternFill>
      </fill>
    </dxf>
    <dxf>
      <fill>
        <patternFill patternType="solid">
          <bgColor rgb="FF009999"/>
        </patternFill>
      </fill>
    </dxf>
    <dxf>
      <alignment horizontal="center"/>
    </dxf>
    <dxf>
      <alignment horizontal="center"/>
    </dxf>
    <dxf>
      <font>
        <color theme="0"/>
      </font>
    </dxf>
    <dxf>
      <font>
        <color theme="0"/>
      </font>
    </dxf>
    <dxf>
      <font>
        <color theme="0"/>
      </font>
    </dxf>
    <dxf>
      <font>
        <color theme="0"/>
      </font>
    </dxf>
    <dxf>
      <fill>
        <patternFill patternType="solid">
          <bgColor rgb="FF009999"/>
        </patternFill>
      </fill>
    </dxf>
    <dxf>
      <fill>
        <patternFill patternType="solid">
          <bgColor rgb="FF009999"/>
        </patternFill>
      </fill>
    </dxf>
    <dxf>
      <font>
        <color theme="0"/>
      </font>
    </dxf>
    <dxf>
      <font>
        <color theme="0"/>
      </font>
    </dxf>
    <dxf>
      <font>
        <color theme="0"/>
      </font>
    </dxf>
    <dxf>
      <fill>
        <patternFill patternType="solid">
          <bgColor rgb="FF009999"/>
        </patternFill>
      </fill>
    </dxf>
    <dxf>
      <fill>
        <patternFill patternType="solid">
          <bgColor rgb="FF009999"/>
        </patternFill>
      </fill>
    </dxf>
    <dxf>
      <fill>
        <patternFill patternType="solid">
          <bgColor rgb="FF009999"/>
        </patternFill>
      </fill>
    </dxf>
    <dxf>
      <font>
        <color theme="0"/>
      </font>
    </dxf>
    <dxf>
      <fill>
        <patternFill patternType="solid">
          <bgColor rgb="FF009999"/>
        </patternFill>
      </fill>
    </dxf>
    <dxf>
      <font>
        <color theme="0"/>
      </font>
    </dxf>
    <dxf>
      <font>
        <color theme="0"/>
      </font>
    </dxf>
    <dxf>
      <fill>
        <patternFill patternType="solid">
          <bgColor rgb="FF009999"/>
        </patternFill>
      </fill>
    </dxf>
    <dxf>
      <fill>
        <patternFill patternType="solid">
          <bgColor rgb="FF009999"/>
        </patternFill>
      </fill>
    </dxf>
    <dxf>
      <font>
        <color theme="0"/>
      </font>
    </dxf>
    <dxf>
      <fill>
        <patternFill patternType="solid">
          <bgColor rgb="FF009999"/>
        </patternFill>
      </fill>
    </dxf>
    <dxf>
      <font>
        <color theme="0"/>
      </font>
    </dxf>
    <dxf>
      <font>
        <color theme="0"/>
      </font>
    </dxf>
    <dxf>
      <fill>
        <patternFill patternType="solid">
          <bgColor rgb="FF009999"/>
        </patternFill>
      </fill>
    </dxf>
    <dxf>
      <fill>
        <patternFill patternType="solid">
          <bgColor rgb="FF009999"/>
        </patternFill>
      </fill>
    </dxf>
    <dxf>
      <font>
        <color theme="0"/>
      </font>
    </dxf>
    <dxf>
      <font>
        <color theme="0"/>
      </font>
    </dxf>
    <dxf>
      <font>
        <color theme="0"/>
      </font>
    </dxf>
    <dxf>
      <fill>
        <patternFill patternType="solid">
          <bgColor rgb="FF009999"/>
        </patternFill>
      </fill>
    </dxf>
    <dxf>
      <fill>
        <patternFill patternType="solid">
          <bgColor rgb="FF009999"/>
        </patternFill>
      </fill>
    </dxf>
    <dxf>
      <fill>
        <patternFill patternType="solid">
          <bgColor rgb="FF009999"/>
        </patternFill>
      </fill>
    </dxf>
    <dxf>
      <font>
        <color theme="0"/>
      </font>
    </dxf>
    <dxf>
      <font>
        <color theme="0"/>
      </font>
    </dxf>
    <dxf>
      <fill>
        <patternFill patternType="solid">
          <bgColor rgb="FF009999"/>
        </patternFill>
      </fill>
    </dxf>
    <dxf>
      <fill>
        <patternFill patternType="solid">
          <bgColor rgb="FF009999"/>
        </patternFill>
      </fill>
    </dxf>
    <dxf>
      <font>
        <color theme="0"/>
      </font>
    </dxf>
    <dxf>
      <fill>
        <patternFill patternType="solid">
          <bgColor rgb="FF009999"/>
        </patternFill>
      </fill>
    </dxf>
    <dxf>
      <fill>
        <patternFill patternType="solid">
          <bgColor rgb="FF009999"/>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rgb="FF009999"/>
        </patternFill>
      </fill>
    </dxf>
    <dxf>
      <fill>
        <patternFill patternType="solid">
          <bgColor rgb="FF009999"/>
        </patternFill>
      </fill>
    </dxf>
    <dxf>
      <fill>
        <patternFill patternType="solid">
          <bgColor rgb="FF009999"/>
        </patternFill>
      </fill>
    </dxf>
    <dxf>
      <fill>
        <patternFill patternType="solid">
          <bgColor rgb="FF009999"/>
        </patternFill>
      </fill>
    </dxf>
    <dxf>
      <fill>
        <patternFill patternType="solid">
          <bgColor rgb="FF009999"/>
        </patternFill>
      </fill>
    </dxf>
    <dxf>
      <fill>
        <patternFill patternType="solid">
          <bgColor rgb="FF009999"/>
        </patternFill>
      </fill>
    </dxf>
    <dxf>
      <fill>
        <patternFill patternType="solid">
          <bgColor rgb="FF009999"/>
        </patternFill>
      </fill>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8" formatCode="[&gt;=1000000000]#,##0.00,,,&quot; Miliar&quot;;[&gt;=1000000]#,##0.00,,&quot; 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lativeIndent="1"/>
    </dxf>
    <dxf>
      <alignment relativeIndent="1"/>
    </dxf>
    <dxf>
      <alignment horizontal="center" indent="0"/>
    </dxf>
    <dxf>
      <alignment horizontal="right"/>
    </dxf>
    <dxf>
      <numFmt numFmtId="170" formatCode="0.0"/>
    </dxf>
    <dxf>
      <numFmt numFmtId="169" formatCode="0.0&quot; Tahun&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71" formatCode="#,##0.0,,\ &quot;M&quot;"/>
    </dxf>
    <dxf>
      <numFmt numFmtId="166" formatCode="#,##0,,\ &quot;Juta&quot;"/>
    </dxf>
    <dxf>
      <numFmt numFmtId="167" formatCode="[&gt;0]0,,&quot; Juta&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 &quot;M&quot;"/>
    </dxf>
    <dxf>
      <numFmt numFmtId="166" formatCode="#,##0,,\ &quot;Juta&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3" defaultTableStyle="TableStyleMedium2" defaultPivotStyle="PivotStyleLight16">
    <tableStyle name="Invisible" pivot="0" table="0" count="0" xr9:uid="{1FB7A0B9-C74B-43BE-8FAE-E646ACEBB7C5}"/>
    <tableStyle name="Slicer Style 1" pivot="0" table="0" count="2" xr9:uid="{5C985021-750E-4B9C-84FD-B03B6EB87F5C}"/>
    <tableStyle name="Slicer Style 1 2" pivot="0" table="0" count="2" xr9:uid="{84812EE6-574E-4025-8C50-64B12E679025}"/>
  </tableStyles>
  <colors>
    <mruColors>
      <color rgb="FF009999"/>
      <color rgb="FF00CC99"/>
      <color rgb="FF595959"/>
      <color rgb="FFF2F2F2"/>
      <color rgb="FF66FFCC"/>
      <color rgb="FFFFFFFF"/>
      <color rgb="FFD9D9D9"/>
      <color rgb="FFA4F0A8"/>
      <color rgb="FF33D6A6"/>
      <color rgb="FF00B386"/>
    </mruColors>
  </colors>
  <extLst>
    <ext xmlns:x14="http://schemas.microsoft.com/office/spreadsheetml/2009/9/main" uri="{46F421CA-312F-682f-3DD2-61675219B42D}">
      <x14:dxfs count="4">
        <dxf>
          <font>
            <color rgb="FFFFFFFF"/>
          </font>
          <fill>
            <patternFill>
              <bgColor rgb="FF009999"/>
            </patternFill>
          </fill>
        </dxf>
        <dxf>
          <font>
            <color theme="1"/>
          </font>
          <fill>
            <patternFill>
              <bgColor rgb="FFF2F2F2"/>
            </patternFill>
          </fill>
        </dxf>
        <dxf>
          <font>
            <color rgb="FFFFFFFF"/>
          </font>
          <fill>
            <patternFill>
              <bgColor rgb="FF595959"/>
            </patternFill>
          </fill>
        </dxf>
        <dxf>
          <font>
            <color theme="1"/>
          </font>
          <fill>
            <patternFill>
              <bgColor rgb="FFD9D9D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1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&amp; Workforce Dataset.xlsx]Helper!Distribusi Karyawan by Jenis Kelamin</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009999"/>
          </a:solidFill>
          <a:ln w="19050">
            <a:solidFill>
              <a:schemeClr val="lt1"/>
            </a:solidFill>
          </a:ln>
          <a:effectLst/>
        </c:spPr>
      </c:pivotFmt>
      <c:pivotFmt>
        <c:idx val="6"/>
        <c:spPr>
          <a:solidFill>
            <a:srgbClr val="00CC99"/>
          </a:solidFill>
          <a:ln w="19050">
            <a:solidFill>
              <a:schemeClr val="lt1"/>
            </a:solidFill>
          </a:ln>
          <a:effectLst/>
        </c:spPr>
      </c:pivotFmt>
    </c:pivotFmts>
    <c:plotArea>
      <c:layout>
        <c:manualLayout>
          <c:layoutTarget val="inner"/>
          <c:xMode val="edge"/>
          <c:yMode val="edge"/>
          <c:x val="9.6297117253131254E-2"/>
          <c:y val="0.1016512875862698"/>
          <c:w val="0.55287249064927291"/>
          <c:h val="0.81331937308078195"/>
        </c:manualLayout>
      </c:layout>
      <c:doughnutChart>
        <c:varyColors val="1"/>
        <c:ser>
          <c:idx val="0"/>
          <c:order val="0"/>
          <c:tx>
            <c:strRef>
              <c:f>Helper!$G$33</c:f>
              <c:strCache>
                <c:ptCount val="1"/>
                <c:pt idx="0">
                  <c:v>Total</c:v>
                </c:pt>
              </c:strCache>
            </c:strRef>
          </c:tx>
          <c:spPr>
            <a:solidFill>
              <a:srgbClr val="009999"/>
            </a:solidFill>
          </c:spPr>
          <c:dPt>
            <c:idx val="0"/>
            <c:bubble3D val="0"/>
            <c:spPr>
              <a:solidFill>
                <a:srgbClr val="009999"/>
              </a:solidFill>
              <a:ln w="19050">
                <a:solidFill>
                  <a:schemeClr val="lt1"/>
                </a:solidFill>
              </a:ln>
              <a:effectLst/>
            </c:spPr>
            <c:extLst>
              <c:ext xmlns:c16="http://schemas.microsoft.com/office/drawing/2014/chart" uri="{C3380CC4-5D6E-409C-BE32-E72D297353CC}">
                <c16:uniqueId val="{00000001-4315-4A69-898C-EB5316C364A6}"/>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3-4315-4A69-898C-EB5316C364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Helper!$F$34:$F$36</c:f>
              <c:strCache>
                <c:ptCount val="2"/>
                <c:pt idx="0">
                  <c:v>Laki-Laki</c:v>
                </c:pt>
                <c:pt idx="1">
                  <c:v>Perempuan</c:v>
                </c:pt>
              </c:strCache>
            </c:strRef>
          </c:cat>
          <c:val>
            <c:numRef>
              <c:f>Helper!$G$34:$G$36</c:f>
              <c:numCache>
                <c:formatCode>General</c:formatCode>
                <c:ptCount val="2"/>
                <c:pt idx="0">
                  <c:v>67</c:v>
                </c:pt>
                <c:pt idx="1">
                  <c:v>56</c:v>
                </c:pt>
              </c:numCache>
            </c:numRef>
          </c:val>
          <c:extLst>
            <c:ext xmlns:c16="http://schemas.microsoft.com/office/drawing/2014/chart" uri="{C3380CC4-5D6E-409C-BE32-E72D297353CC}">
              <c16:uniqueId val="{00000004-4315-4A69-898C-EB5316C364A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407042579923096"/>
          <c:y val="0.40048338677210471"/>
          <c:w val="0.19421478742332959"/>
          <c:h val="0.1990327621073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&amp; Workforce Dataset.xlsx]Helper!Total Karyawan by Base</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34596587104162E-2"/>
          <c:y val="2.2901063438830898E-2"/>
          <c:w val="0.92773080682579168"/>
          <c:h val="0.87084593643169694"/>
        </c:manualLayout>
      </c:layout>
      <c:barChart>
        <c:barDir val="col"/>
        <c:grouping val="clustered"/>
        <c:varyColors val="0"/>
        <c:ser>
          <c:idx val="0"/>
          <c:order val="0"/>
          <c:tx>
            <c:strRef>
              <c:f>Helper!$G$1</c:f>
              <c:strCache>
                <c:ptCount val="1"/>
                <c:pt idx="0">
                  <c:v>Total</c:v>
                </c:pt>
              </c:strCache>
            </c:strRef>
          </c:tx>
          <c:spPr>
            <a:solidFill>
              <a:srgbClr val="009999"/>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Helper!$F$2:$F$8</c:f>
              <c:strCache>
                <c:ptCount val="6"/>
                <c:pt idx="0">
                  <c:v>JAKARTA</c:v>
                </c:pt>
                <c:pt idx="1">
                  <c:v>MEDAN</c:v>
                </c:pt>
                <c:pt idx="2">
                  <c:v>BANDUNG</c:v>
                </c:pt>
                <c:pt idx="3">
                  <c:v>SURABAYA</c:v>
                </c:pt>
                <c:pt idx="4">
                  <c:v>MALANG</c:v>
                </c:pt>
                <c:pt idx="5">
                  <c:v>DENPASAR</c:v>
                </c:pt>
              </c:strCache>
            </c:strRef>
          </c:cat>
          <c:val>
            <c:numRef>
              <c:f>Helper!$G$2:$G$8</c:f>
              <c:numCache>
                <c:formatCode>General</c:formatCode>
                <c:ptCount val="6"/>
                <c:pt idx="0">
                  <c:v>109</c:v>
                </c:pt>
                <c:pt idx="1">
                  <c:v>4</c:v>
                </c:pt>
                <c:pt idx="2">
                  <c:v>4</c:v>
                </c:pt>
                <c:pt idx="3">
                  <c:v>3</c:v>
                </c:pt>
                <c:pt idx="4">
                  <c:v>2</c:v>
                </c:pt>
                <c:pt idx="5">
                  <c:v>1</c:v>
                </c:pt>
              </c:numCache>
            </c:numRef>
          </c:val>
          <c:extLst>
            <c:ext xmlns:c16="http://schemas.microsoft.com/office/drawing/2014/chart" uri="{C3380CC4-5D6E-409C-BE32-E72D297353CC}">
              <c16:uniqueId val="{00000000-32A5-4E48-9B0E-3EE569604ADA}"/>
            </c:ext>
          </c:extLst>
        </c:ser>
        <c:dLbls>
          <c:dLblPos val="outEnd"/>
          <c:showLegendKey val="0"/>
          <c:showVal val="1"/>
          <c:showCatName val="0"/>
          <c:showSerName val="0"/>
          <c:showPercent val="0"/>
          <c:showBubbleSize val="0"/>
        </c:dLbls>
        <c:gapWidth val="100"/>
        <c:axId val="615496111"/>
        <c:axId val="608371967"/>
      </c:barChart>
      <c:catAx>
        <c:axId val="615496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71967"/>
        <c:crosses val="autoZero"/>
        <c:auto val="1"/>
        <c:lblAlgn val="ctr"/>
        <c:lblOffset val="100"/>
        <c:noMultiLvlLbl val="0"/>
      </c:catAx>
      <c:valAx>
        <c:axId val="608371967"/>
        <c:scaling>
          <c:orientation val="minMax"/>
        </c:scaling>
        <c:delete val="1"/>
        <c:axPos val="l"/>
        <c:numFmt formatCode="General" sourceLinked="1"/>
        <c:majorTickMark val="out"/>
        <c:minorTickMark val="none"/>
        <c:tickLblPos val="nextTo"/>
        <c:crossAx val="6154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&amp; Workforce Dataset.xlsx]Helper!Historical Karyawan by Year</c:name>
    <c:fmtId val="1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9999"/>
            </a:solidFill>
            <a:round/>
          </a:ln>
          <a:effectLst/>
        </c:spPr>
        <c:marker>
          <c:symbol val="circle"/>
          <c:size val="5"/>
          <c:spPr>
            <a:solidFill>
              <a:srgbClr val="009999"/>
            </a:solidFill>
            <a:ln w="9525">
              <a:solidFill>
                <a:srgbClr val="00999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9999"/>
            </a:solidFill>
            <a:round/>
          </a:ln>
          <a:effectLst/>
        </c:spPr>
        <c:marker>
          <c:symbol val="circle"/>
          <c:size val="5"/>
          <c:spPr>
            <a:solidFill>
              <a:srgbClr val="009999"/>
            </a:solidFill>
            <a:ln w="9525">
              <a:solidFill>
                <a:srgbClr val="009999"/>
              </a:solidFill>
            </a:ln>
            <a:effectLst/>
          </c:spPr>
        </c:marker>
      </c:pivotFmt>
    </c:pivotFmts>
    <c:plotArea>
      <c:layout>
        <c:manualLayout>
          <c:layoutTarget val="inner"/>
          <c:xMode val="edge"/>
          <c:yMode val="edge"/>
          <c:x val="3.8026007495552544E-2"/>
          <c:y val="8.9539160105683829E-2"/>
          <c:w val="0.92157119331917858"/>
          <c:h val="0.7837105394076801"/>
        </c:manualLayout>
      </c:layout>
      <c:barChart>
        <c:barDir val="col"/>
        <c:grouping val="clustered"/>
        <c:varyColors val="0"/>
        <c:ser>
          <c:idx val="0"/>
          <c:order val="0"/>
          <c:tx>
            <c:strRef>
              <c:f>Helper!$C$27</c:f>
              <c:strCache>
                <c:ptCount val="1"/>
                <c:pt idx="0">
                  <c:v>Count of Nama Karyawan</c:v>
                </c:pt>
              </c:strCache>
            </c:strRef>
          </c:tx>
          <c:spPr>
            <a:solidFill>
              <a:srgbClr val="00CC99"/>
            </a:solidFill>
            <a:ln>
              <a:noFill/>
            </a:ln>
            <a:effectLst/>
          </c:spPr>
          <c:invertIfNegative val="0"/>
          <c:cat>
            <c:strRef>
              <c:f>Helper!$B$28:$B$51</c:f>
              <c:strCache>
                <c:ptCount val="23"/>
                <c:pt idx="0">
                  <c:v>2000</c:v>
                </c:pt>
                <c:pt idx="1">
                  <c:v>2002</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strCache>
            </c:strRef>
          </c:cat>
          <c:val>
            <c:numRef>
              <c:f>Helper!$C$28:$C$51</c:f>
              <c:numCache>
                <c:formatCode>General</c:formatCode>
                <c:ptCount val="23"/>
                <c:pt idx="0">
                  <c:v>4</c:v>
                </c:pt>
                <c:pt idx="1">
                  <c:v>1</c:v>
                </c:pt>
                <c:pt idx="2">
                  <c:v>2</c:v>
                </c:pt>
                <c:pt idx="3">
                  <c:v>1</c:v>
                </c:pt>
                <c:pt idx="4">
                  <c:v>5</c:v>
                </c:pt>
                <c:pt idx="5">
                  <c:v>2</c:v>
                </c:pt>
                <c:pt idx="6">
                  <c:v>3</c:v>
                </c:pt>
                <c:pt idx="7">
                  <c:v>1</c:v>
                </c:pt>
                <c:pt idx="8">
                  <c:v>4</c:v>
                </c:pt>
                <c:pt idx="9">
                  <c:v>1</c:v>
                </c:pt>
                <c:pt idx="10">
                  <c:v>3</c:v>
                </c:pt>
                <c:pt idx="11">
                  <c:v>2</c:v>
                </c:pt>
                <c:pt idx="12">
                  <c:v>4</c:v>
                </c:pt>
                <c:pt idx="13">
                  <c:v>2</c:v>
                </c:pt>
                <c:pt idx="14">
                  <c:v>13</c:v>
                </c:pt>
                <c:pt idx="15">
                  <c:v>13</c:v>
                </c:pt>
                <c:pt idx="16">
                  <c:v>17</c:v>
                </c:pt>
                <c:pt idx="17">
                  <c:v>12</c:v>
                </c:pt>
                <c:pt idx="18">
                  <c:v>6</c:v>
                </c:pt>
                <c:pt idx="19">
                  <c:v>5</c:v>
                </c:pt>
                <c:pt idx="20">
                  <c:v>14</c:v>
                </c:pt>
                <c:pt idx="21">
                  <c:v>4</c:v>
                </c:pt>
                <c:pt idx="22">
                  <c:v>4</c:v>
                </c:pt>
              </c:numCache>
            </c:numRef>
          </c:val>
          <c:extLst>
            <c:ext xmlns:c16="http://schemas.microsoft.com/office/drawing/2014/chart" uri="{C3380CC4-5D6E-409C-BE32-E72D297353CC}">
              <c16:uniqueId val="{00000000-C862-40DE-AC03-017A6F43D905}"/>
            </c:ext>
          </c:extLst>
        </c:ser>
        <c:dLbls>
          <c:showLegendKey val="0"/>
          <c:showVal val="0"/>
          <c:showCatName val="0"/>
          <c:showSerName val="0"/>
          <c:showPercent val="0"/>
          <c:showBubbleSize val="0"/>
        </c:dLbls>
        <c:gapWidth val="100"/>
        <c:axId val="66618879"/>
        <c:axId val="171121967"/>
      </c:barChart>
      <c:lineChart>
        <c:grouping val="standard"/>
        <c:varyColors val="0"/>
        <c:ser>
          <c:idx val="1"/>
          <c:order val="1"/>
          <c:tx>
            <c:strRef>
              <c:f>Helper!$D$27</c:f>
              <c:strCache>
                <c:ptCount val="1"/>
                <c:pt idx="0">
                  <c:v>Count of Nama Karyawan (Cumulative)</c:v>
                </c:pt>
              </c:strCache>
            </c:strRef>
          </c:tx>
          <c:spPr>
            <a:ln w="28575" cap="rnd">
              <a:solidFill>
                <a:srgbClr val="009999"/>
              </a:solidFill>
              <a:round/>
            </a:ln>
            <a:effectLst/>
          </c:spPr>
          <c:marker>
            <c:symbol val="circle"/>
            <c:size val="5"/>
            <c:spPr>
              <a:solidFill>
                <a:srgbClr val="009999"/>
              </a:solidFill>
              <a:ln w="9525">
                <a:solidFill>
                  <a:srgbClr val="009999"/>
                </a:solidFill>
              </a:ln>
              <a:effectLst/>
            </c:spPr>
          </c:marker>
          <c:cat>
            <c:strRef>
              <c:f>Helper!$B$28:$B$51</c:f>
              <c:strCache>
                <c:ptCount val="23"/>
                <c:pt idx="0">
                  <c:v>2000</c:v>
                </c:pt>
                <c:pt idx="1">
                  <c:v>2002</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strCache>
            </c:strRef>
          </c:cat>
          <c:val>
            <c:numRef>
              <c:f>Helper!$D$28:$D$51</c:f>
              <c:numCache>
                <c:formatCode>General</c:formatCode>
                <c:ptCount val="23"/>
                <c:pt idx="0">
                  <c:v>4</c:v>
                </c:pt>
                <c:pt idx="1">
                  <c:v>5</c:v>
                </c:pt>
                <c:pt idx="2">
                  <c:v>7</c:v>
                </c:pt>
                <c:pt idx="3">
                  <c:v>8</c:v>
                </c:pt>
                <c:pt idx="4">
                  <c:v>13</c:v>
                </c:pt>
                <c:pt idx="5">
                  <c:v>15</c:v>
                </c:pt>
                <c:pt idx="6">
                  <c:v>18</c:v>
                </c:pt>
                <c:pt idx="7">
                  <c:v>19</c:v>
                </c:pt>
                <c:pt idx="8">
                  <c:v>23</c:v>
                </c:pt>
                <c:pt idx="9">
                  <c:v>24</c:v>
                </c:pt>
                <c:pt idx="10">
                  <c:v>27</c:v>
                </c:pt>
                <c:pt idx="11">
                  <c:v>29</c:v>
                </c:pt>
                <c:pt idx="12">
                  <c:v>33</c:v>
                </c:pt>
                <c:pt idx="13">
                  <c:v>35</c:v>
                </c:pt>
                <c:pt idx="14">
                  <c:v>48</c:v>
                </c:pt>
                <c:pt idx="15">
                  <c:v>61</c:v>
                </c:pt>
                <c:pt idx="16">
                  <c:v>78</c:v>
                </c:pt>
                <c:pt idx="17">
                  <c:v>90</c:v>
                </c:pt>
                <c:pt idx="18">
                  <c:v>96</c:v>
                </c:pt>
                <c:pt idx="19">
                  <c:v>101</c:v>
                </c:pt>
                <c:pt idx="20">
                  <c:v>115</c:v>
                </c:pt>
                <c:pt idx="21">
                  <c:v>119</c:v>
                </c:pt>
                <c:pt idx="22">
                  <c:v>123</c:v>
                </c:pt>
              </c:numCache>
            </c:numRef>
          </c:val>
          <c:smooth val="0"/>
          <c:extLst>
            <c:ext xmlns:c16="http://schemas.microsoft.com/office/drawing/2014/chart" uri="{C3380CC4-5D6E-409C-BE32-E72D297353CC}">
              <c16:uniqueId val="{00000001-C862-40DE-AC03-017A6F43D905}"/>
            </c:ext>
          </c:extLst>
        </c:ser>
        <c:dLbls>
          <c:showLegendKey val="0"/>
          <c:showVal val="0"/>
          <c:showCatName val="0"/>
          <c:showSerName val="0"/>
          <c:showPercent val="0"/>
          <c:showBubbleSize val="0"/>
        </c:dLbls>
        <c:marker val="1"/>
        <c:smooth val="0"/>
        <c:axId val="63869919"/>
        <c:axId val="63880479"/>
      </c:lineChart>
      <c:catAx>
        <c:axId val="6661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1967"/>
        <c:crosses val="autoZero"/>
        <c:auto val="1"/>
        <c:lblAlgn val="ctr"/>
        <c:lblOffset val="100"/>
        <c:noMultiLvlLbl val="0"/>
      </c:catAx>
      <c:valAx>
        <c:axId val="17112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8879"/>
        <c:crosses val="autoZero"/>
        <c:crossBetween val="between"/>
      </c:valAx>
      <c:valAx>
        <c:axId val="638804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9919"/>
        <c:crosses val="max"/>
        <c:crossBetween val="between"/>
      </c:valAx>
      <c:catAx>
        <c:axId val="63869919"/>
        <c:scaling>
          <c:orientation val="minMax"/>
        </c:scaling>
        <c:delete val="1"/>
        <c:axPos val="b"/>
        <c:numFmt formatCode="General" sourceLinked="1"/>
        <c:majorTickMark val="out"/>
        <c:minorTickMark val="none"/>
        <c:tickLblPos val="nextTo"/>
        <c:crossAx val="638804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&amp; Workforce Dataset.xlsx]Helper!Kontribusi Gaji by Jabatan</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Helper!$G$11</c:f>
              <c:strCache>
                <c:ptCount val="1"/>
                <c:pt idx="0">
                  <c:v>Total</c:v>
                </c:pt>
              </c:strCache>
            </c:strRef>
          </c:tx>
          <c:spPr>
            <a:solidFill>
              <a:srgbClr val="00CC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Helper!$F$12:$F$19</c:f>
              <c:strCache>
                <c:ptCount val="7"/>
                <c:pt idx="0">
                  <c:v>General Manager</c:v>
                </c:pt>
                <c:pt idx="1">
                  <c:v>Supervisor</c:v>
                </c:pt>
                <c:pt idx="2">
                  <c:v>Senior Manager</c:v>
                </c:pt>
                <c:pt idx="3">
                  <c:v>Senior Staff</c:v>
                </c:pt>
                <c:pt idx="4">
                  <c:v>Staff</c:v>
                </c:pt>
                <c:pt idx="5">
                  <c:v>Junior Manager</c:v>
                </c:pt>
                <c:pt idx="6">
                  <c:v>CEO</c:v>
                </c:pt>
              </c:strCache>
            </c:strRef>
          </c:cat>
          <c:val>
            <c:numRef>
              <c:f>Helper!$G$12:$G$19</c:f>
              <c:numCache>
                <c:formatCode>#,##0,,\ "Juta"</c:formatCode>
                <c:ptCount val="7"/>
                <c:pt idx="0">
                  <c:v>275000000</c:v>
                </c:pt>
                <c:pt idx="1">
                  <c:v>196000000</c:v>
                </c:pt>
                <c:pt idx="2">
                  <c:v>180000000</c:v>
                </c:pt>
                <c:pt idx="3">
                  <c:v>175000000</c:v>
                </c:pt>
                <c:pt idx="4">
                  <c:v>128000000</c:v>
                </c:pt>
                <c:pt idx="5">
                  <c:v>72000000</c:v>
                </c:pt>
                <c:pt idx="6">
                  <c:v>40000000</c:v>
                </c:pt>
              </c:numCache>
            </c:numRef>
          </c:val>
          <c:extLst>
            <c:ext xmlns:c16="http://schemas.microsoft.com/office/drawing/2014/chart" uri="{C3380CC4-5D6E-409C-BE32-E72D297353CC}">
              <c16:uniqueId val="{00000000-A0DE-4D57-A127-FA9F04F6CF8A}"/>
            </c:ext>
          </c:extLst>
        </c:ser>
        <c:dLbls>
          <c:dLblPos val="outEnd"/>
          <c:showLegendKey val="0"/>
          <c:showVal val="1"/>
          <c:showCatName val="0"/>
          <c:showSerName val="0"/>
          <c:showPercent val="0"/>
          <c:showBubbleSize val="0"/>
        </c:dLbls>
        <c:gapWidth val="100"/>
        <c:overlap val="-27"/>
        <c:axId val="29961375"/>
        <c:axId val="806954559"/>
      </c:barChart>
      <c:catAx>
        <c:axId val="2996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54559"/>
        <c:crosses val="autoZero"/>
        <c:auto val="1"/>
        <c:lblAlgn val="ctr"/>
        <c:lblOffset val="100"/>
        <c:noMultiLvlLbl val="0"/>
      </c:catAx>
      <c:valAx>
        <c:axId val="806954559"/>
        <c:scaling>
          <c:orientation val="minMax"/>
        </c:scaling>
        <c:delete val="1"/>
        <c:axPos val="l"/>
        <c:numFmt formatCode="#,##0,,\ &quot;Juta&quot;" sourceLinked="1"/>
        <c:majorTickMark val="none"/>
        <c:minorTickMark val="none"/>
        <c:tickLblPos val="nextTo"/>
        <c:crossAx val="2996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&amp; Workforce Dataset.xlsx]Helper!Total Bonus by Jabatan</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Helper!$G$22</c:f>
              <c:strCache>
                <c:ptCount val="1"/>
                <c:pt idx="0">
                  <c:v>Total</c:v>
                </c:pt>
              </c:strCache>
            </c:strRef>
          </c:tx>
          <c:spPr>
            <a:solidFill>
              <a:srgbClr val="0099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Helper!$F$23:$F$30</c:f>
              <c:strCache>
                <c:ptCount val="7"/>
                <c:pt idx="0">
                  <c:v>Senior Manager</c:v>
                </c:pt>
                <c:pt idx="1">
                  <c:v>Supervisor</c:v>
                </c:pt>
                <c:pt idx="2">
                  <c:v>Senior Staff</c:v>
                </c:pt>
                <c:pt idx="3">
                  <c:v>Staff</c:v>
                </c:pt>
                <c:pt idx="4">
                  <c:v>Junior Manager</c:v>
                </c:pt>
                <c:pt idx="5">
                  <c:v>General Manager</c:v>
                </c:pt>
                <c:pt idx="6">
                  <c:v>CEO</c:v>
                </c:pt>
              </c:strCache>
            </c:strRef>
          </c:cat>
          <c:val>
            <c:numRef>
              <c:f>Helper!$G$23:$G$30</c:f>
              <c:numCache>
                <c:formatCode>[&gt;0]0,," Juta";0</c:formatCode>
                <c:ptCount val="7"/>
                <c:pt idx="0">
                  <c:v>108000000</c:v>
                </c:pt>
                <c:pt idx="1">
                  <c:v>49000000</c:v>
                </c:pt>
                <c:pt idx="2">
                  <c:v>40000000</c:v>
                </c:pt>
                <c:pt idx="3">
                  <c:v>4000000</c:v>
                </c:pt>
                <c:pt idx="4">
                  <c:v>0</c:v>
                </c:pt>
                <c:pt idx="5">
                  <c:v>0</c:v>
                </c:pt>
                <c:pt idx="6">
                  <c:v>0</c:v>
                </c:pt>
              </c:numCache>
            </c:numRef>
          </c:val>
          <c:extLst>
            <c:ext xmlns:c16="http://schemas.microsoft.com/office/drawing/2014/chart" uri="{C3380CC4-5D6E-409C-BE32-E72D297353CC}">
              <c16:uniqueId val="{00000000-8F30-4F9E-9E11-43EF388D444E}"/>
            </c:ext>
          </c:extLst>
        </c:ser>
        <c:dLbls>
          <c:dLblPos val="outEnd"/>
          <c:showLegendKey val="0"/>
          <c:showVal val="1"/>
          <c:showCatName val="0"/>
          <c:showSerName val="0"/>
          <c:showPercent val="0"/>
          <c:showBubbleSize val="0"/>
        </c:dLbls>
        <c:gapWidth val="100"/>
        <c:overlap val="-27"/>
        <c:axId val="1577850703"/>
        <c:axId val="1577836783"/>
      </c:barChart>
      <c:catAx>
        <c:axId val="15778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836783"/>
        <c:crosses val="autoZero"/>
        <c:auto val="1"/>
        <c:lblAlgn val="ctr"/>
        <c:lblOffset val="100"/>
        <c:noMultiLvlLbl val="0"/>
      </c:catAx>
      <c:valAx>
        <c:axId val="1577836783"/>
        <c:scaling>
          <c:orientation val="minMax"/>
        </c:scaling>
        <c:delete val="1"/>
        <c:axPos val="l"/>
        <c:numFmt formatCode="[&gt;0]0,,&quot; Juta&quot;;0" sourceLinked="1"/>
        <c:majorTickMark val="none"/>
        <c:minorTickMark val="none"/>
        <c:tickLblPos val="nextTo"/>
        <c:crossAx val="157785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&amp; Workforce Dataset.xlsx]Helper!Total Karyawan by Divisi</c:name>
    <c:fmtId val="3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60421341922474"/>
          <c:y val="4.7887699950000716E-2"/>
          <c:w val="0.73539578658077531"/>
          <c:h val="0.89464706010999839"/>
        </c:manualLayout>
      </c:layout>
      <c:barChart>
        <c:barDir val="bar"/>
        <c:grouping val="clustered"/>
        <c:varyColors val="0"/>
        <c:ser>
          <c:idx val="0"/>
          <c:order val="0"/>
          <c:tx>
            <c:strRef>
              <c:f>Helper!$D$12</c:f>
              <c:strCache>
                <c:ptCount val="1"/>
                <c:pt idx="0">
                  <c:v>Total</c:v>
                </c:pt>
              </c:strCache>
            </c:strRef>
          </c:tx>
          <c:spPr>
            <a:solidFill>
              <a:srgbClr val="0099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Helper!$C$13:$C$24</c:f>
              <c:strCache>
                <c:ptCount val="11"/>
                <c:pt idx="0">
                  <c:v>Executive</c:v>
                </c:pt>
                <c:pt idx="1">
                  <c:v>Customer Service</c:v>
                </c:pt>
                <c:pt idx="2">
                  <c:v>Data</c:v>
                </c:pt>
                <c:pt idx="3">
                  <c:v>Procurement</c:v>
                </c:pt>
                <c:pt idx="4">
                  <c:v>IT</c:v>
                </c:pt>
                <c:pt idx="5">
                  <c:v>Sales</c:v>
                </c:pt>
                <c:pt idx="6">
                  <c:v>Account Manager</c:v>
                </c:pt>
                <c:pt idx="7">
                  <c:v>Human Resources</c:v>
                </c:pt>
                <c:pt idx="8">
                  <c:v>Production</c:v>
                </c:pt>
                <c:pt idx="9">
                  <c:v>Marketing</c:v>
                </c:pt>
                <c:pt idx="10">
                  <c:v>Finance</c:v>
                </c:pt>
              </c:strCache>
            </c:strRef>
          </c:cat>
          <c:val>
            <c:numRef>
              <c:f>Helper!$D$13:$D$24</c:f>
              <c:numCache>
                <c:formatCode>General</c:formatCode>
                <c:ptCount val="11"/>
                <c:pt idx="0">
                  <c:v>2</c:v>
                </c:pt>
                <c:pt idx="1">
                  <c:v>2</c:v>
                </c:pt>
                <c:pt idx="2">
                  <c:v>6</c:v>
                </c:pt>
                <c:pt idx="3">
                  <c:v>6</c:v>
                </c:pt>
                <c:pt idx="4">
                  <c:v>6</c:v>
                </c:pt>
                <c:pt idx="5">
                  <c:v>7</c:v>
                </c:pt>
                <c:pt idx="6">
                  <c:v>14</c:v>
                </c:pt>
                <c:pt idx="7">
                  <c:v>15</c:v>
                </c:pt>
                <c:pt idx="8">
                  <c:v>20</c:v>
                </c:pt>
                <c:pt idx="9">
                  <c:v>21</c:v>
                </c:pt>
                <c:pt idx="10">
                  <c:v>24</c:v>
                </c:pt>
              </c:numCache>
            </c:numRef>
          </c:val>
          <c:extLst>
            <c:ext xmlns:c16="http://schemas.microsoft.com/office/drawing/2014/chart" uri="{C3380CC4-5D6E-409C-BE32-E72D297353CC}">
              <c16:uniqueId val="{00000000-406D-4D1A-8C78-081381D43EC8}"/>
            </c:ext>
          </c:extLst>
        </c:ser>
        <c:dLbls>
          <c:dLblPos val="outEnd"/>
          <c:showLegendKey val="0"/>
          <c:showVal val="1"/>
          <c:showCatName val="0"/>
          <c:showSerName val="0"/>
          <c:showPercent val="0"/>
          <c:showBubbleSize val="0"/>
        </c:dLbls>
        <c:gapWidth val="100"/>
        <c:axId val="46520255"/>
        <c:axId val="46520735"/>
      </c:barChart>
      <c:catAx>
        <c:axId val="4652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0735"/>
        <c:crosses val="autoZero"/>
        <c:auto val="1"/>
        <c:lblAlgn val="ctr"/>
        <c:lblOffset val="100"/>
        <c:noMultiLvlLbl val="0"/>
      </c:catAx>
      <c:valAx>
        <c:axId val="46520735"/>
        <c:scaling>
          <c:orientation val="minMax"/>
        </c:scaling>
        <c:delete val="1"/>
        <c:axPos val="b"/>
        <c:numFmt formatCode="General" sourceLinked="1"/>
        <c:majorTickMark val="none"/>
        <c:minorTickMark val="none"/>
        <c:tickLblPos val="nextTo"/>
        <c:crossAx val="465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&amp; Workforce Dataset.xlsx]Helper!Total Karyawan by Jabatan</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Helper!$D$1</c:f>
              <c:strCache>
                <c:ptCount val="1"/>
                <c:pt idx="0">
                  <c:v>Total</c:v>
                </c:pt>
              </c:strCache>
            </c:strRef>
          </c:tx>
          <c:spPr>
            <a:solidFill>
              <a:srgbClr val="00CC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Helper!$C$2:$C$9</c:f>
              <c:strCache>
                <c:ptCount val="7"/>
                <c:pt idx="0">
                  <c:v>CEO</c:v>
                </c:pt>
                <c:pt idx="1">
                  <c:v>Junior Manager</c:v>
                </c:pt>
                <c:pt idx="2">
                  <c:v>Senior Manager</c:v>
                </c:pt>
                <c:pt idx="3">
                  <c:v>General Manager</c:v>
                </c:pt>
                <c:pt idx="4">
                  <c:v>Supervisor</c:v>
                </c:pt>
                <c:pt idx="5">
                  <c:v>Staff</c:v>
                </c:pt>
                <c:pt idx="6">
                  <c:v>Senior Staff</c:v>
                </c:pt>
              </c:strCache>
            </c:strRef>
          </c:cat>
          <c:val>
            <c:numRef>
              <c:f>Helper!$D$2:$D$9</c:f>
              <c:numCache>
                <c:formatCode>General</c:formatCode>
                <c:ptCount val="7"/>
                <c:pt idx="0">
                  <c:v>1</c:v>
                </c:pt>
                <c:pt idx="1">
                  <c:v>6</c:v>
                </c:pt>
                <c:pt idx="2">
                  <c:v>10</c:v>
                </c:pt>
                <c:pt idx="3">
                  <c:v>11</c:v>
                </c:pt>
                <c:pt idx="4">
                  <c:v>28</c:v>
                </c:pt>
                <c:pt idx="5">
                  <c:v>32</c:v>
                </c:pt>
                <c:pt idx="6">
                  <c:v>35</c:v>
                </c:pt>
              </c:numCache>
            </c:numRef>
          </c:val>
          <c:extLst>
            <c:ext xmlns:c16="http://schemas.microsoft.com/office/drawing/2014/chart" uri="{C3380CC4-5D6E-409C-BE32-E72D297353CC}">
              <c16:uniqueId val="{00000000-3679-47EB-8951-A5D855E1FFFD}"/>
            </c:ext>
          </c:extLst>
        </c:ser>
        <c:dLbls>
          <c:dLblPos val="outEnd"/>
          <c:showLegendKey val="0"/>
          <c:showVal val="1"/>
          <c:showCatName val="0"/>
          <c:showSerName val="0"/>
          <c:showPercent val="0"/>
          <c:showBubbleSize val="0"/>
        </c:dLbls>
        <c:gapWidth val="100"/>
        <c:axId val="803640591"/>
        <c:axId val="803633391"/>
      </c:barChart>
      <c:catAx>
        <c:axId val="80364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33391"/>
        <c:crosses val="autoZero"/>
        <c:auto val="1"/>
        <c:lblAlgn val="ctr"/>
        <c:lblOffset val="100"/>
        <c:noMultiLvlLbl val="0"/>
      </c:catAx>
      <c:valAx>
        <c:axId val="803633391"/>
        <c:scaling>
          <c:orientation val="minMax"/>
        </c:scaling>
        <c:delete val="1"/>
        <c:axPos val="b"/>
        <c:numFmt formatCode="General" sourceLinked="1"/>
        <c:majorTickMark val="none"/>
        <c:minorTickMark val="none"/>
        <c:tickLblPos val="nextTo"/>
        <c:crossAx val="80364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6.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5.svg"/><Relationship Id="rId2" Type="http://schemas.openxmlformats.org/officeDocument/2006/relationships/chart" Target="../charts/chart1.xml"/><Relationship Id="rId16"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5" Type="http://schemas.openxmlformats.org/officeDocument/2006/relationships/image" Target="../media/image8.png"/><Relationship Id="rId10" Type="http://schemas.openxmlformats.org/officeDocument/2006/relationships/image" Target="../media/image3.svg"/><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oneCellAnchor>
    <xdr:from>
      <xdr:col>1</xdr:col>
      <xdr:colOff>511004</xdr:colOff>
      <xdr:row>0</xdr:row>
      <xdr:rowOff>48921</xdr:rowOff>
    </xdr:from>
    <xdr:ext cx="913010" cy="909022"/>
    <xdr:pic>
      <xdr:nvPicPr>
        <xdr:cNvPr id="2" name="Picture 1" descr="MySkill - East Ventures">
          <a:extLst>
            <a:ext uri="{FF2B5EF4-FFF2-40B4-BE49-F238E27FC236}">
              <a16:creationId xmlns:a16="http://schemas.microsoft.com/office/drawing/2014/main" id="{A67084A3-1069-4973-BE6B-E3DF9E09AE6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8344" t="17519" r="18010" b="19077"/>
        <a:stretch/>
      </xdr:blipFill>
      <xdr:spPr bwMode="auto">
        <a:xfrm>
          <a:off x="511004" y="48921"/>
          <a:ext cx="913010" cy="9090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601579</xdr:colOff>
      <xdr:row>27</xdr:row>
      <xdr:rowOff>235618</xdr:rowOff>
    </xdr:from>
    <xdr:to>
      <xdr:col>14</xdr:col>
      <xdr:colOff>4554</xdr:colOff>
      <xdr:row>41</xdr:row>
      <xdr:rowOff>132758</xdr:rowOff>
    </xdr:to>
    <xdr:graphicFrame macro="">
      <xdr:nvGraphicFramePr>
        <xdr:cNvPr id="5" name="Chart 4">
          <a:extLst>
            <a:ext uri="{FF2B5EF4-FFF2-40B4-BE49-F238E27FC236}">
              <a16:creationId xmlns:a16="http://schemas.microsoft.com/office/drawing/2014/main" id="{3D72FE8C-DD2F-43D7-995C-5272F1FEF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334</xdr:colOff>
      <xdr:row>27</xdr:row>
      <xdr:rowOff>235312</xdr:rowOff>
    </xdr:from>
    <xdr:to>
      <xdr:col>5</xdr:col>
      <xdr:colOff>6713</xdr:colOff>
      <xdr:row>41</xdr:row>
      <xdr:rowOff>143528</xdr:rowOff>
    </xdr:to>
    <xdr:graphicFrame macro="">
      <xdr:nvGraphicFramePr>
        <xdr:cNvPr id="7" name="Chart 6">
          <a:extLst>
            <a:ext uri="{FF2B5EF4-FFF2-40B4-BE49-F238E27FC236}">
              <a16:creationId xmlns:a16="http://schemas.microsoft.com/office/drawing/2014/main" id="{3CEF52F4-C798-4870-82DF-7D1711CE9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3889</xdr:colOff>
      <xdr:row>12</xdr:row>
      <xdr:rowOff>12097</xdr:rowOff>
    </xdr:from>
    <xdr:to>
      <xdr:col>13</xdr:col>
      <xdr:colOff>2448674</xdr:colOff>
      <xdr:row>25</xdr:row>
      <xdr:rowOff>25686</xdr:rowOff>
    </xdr:to>
    <xdr:graphicFrame macro="">
      <xdr:nvGraphicFramePr>
        <xdr:cNvPr id="8" name="Chart 7">
          <a:extLst>
            <a:ext uri="{FF2B5EF4-FFF2-40B4-BE49-F238E27FC236}">
              <a16:creationId xmlns:a16="http://schemas.microsoft.com/office/drawing/2014/main" id="{B6EF83CA-CCE7-4712-9E1B-E9736AE4D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598704</xdr:colOff>
      <xdr:row>27</xdr:row>
      <xdr:rowOff>234350</xdr:rowOff>
    </xdr:from>
    <xdr:to>
      <xdr:col>8</xdr:col>
      <xdr:colOff>2876</xdr:colOff>
      <xdr:row>41</xdr:row>
      <xdr:rowOff>119749</xdr:rowOff>
    </xdr:to>
    <xdr:graphicFrame macro="">
      <xdr:nvGraphicFramePr>
        <xdr:cNvPr id="10" name="Chart 9">
          <a:extLst>
            <a:ext uri="{FF2B5EF4-FFF2-40B4-BE49-F238E27FC236}">
              <a16:creationId xmlns:a16="http://schemas.microsoft.com/office/drawing/2014/main" id="{FAC71D68-C2C3-43C7-8A80-06E978788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4553</xdr:colOff>
      <xdr:row>28</xdr:row>
      <xdr:rowOff>110</xdr:rowOff>
    </xdr:from>
    <xdr:to>
      <xdr:col>11</xdr:col>
      <xdr:colOff>2827</xdr:colOff>
      <xdr:row>41</xdr:row>
      <xdr:rowOff>124511</xdr:rowOff>
    </xdr:to>
    <xdr:graphicFrame macro="">
      <xdr:nvGraphicFramePr>
        <xdr:cNvPr id="11" name="Chart 10">
          <a:extLst>
            <a:ext uri="{FF2B5EF4-FFF2-40B4-BE49-F238E27FC236}">
              <a16:creationId xmlns:a16="http://schemas.microsoft.com/office/drawing/2014/main" id="{881CAEE5-B518-429D-A11B-D984409E1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4355</xdr:colOff>
      <xdr:row>12</xdr:row>
      <xdr:rowOff>5603</xdr:rowOff>
    </xdr:from>
    <xdr:to>
      <xdr:col>8</xdr:col>
      <xdr:colOff>0</xdr:colOff>
      <xdr:row>25</xdr:row>
      <xdr:rowOff>21324</xdr:rowOff>
    </xdr:to>
    <xdr:graphicFrame macro="">
      <xdr:nvGraphicFramePr>
        <xdr:cNvPr id="12" name="Chart 11">
          <a:extLst>
            <a:ext uri="{FF2B5EF4-FFF2-40B4-BE49-F238E27FC236}">
              <a16:creationId xmlns:a16="http://schemas.microsoft.com/office/drawing/2014/main" id="{AC13000D-4CA0-4E67-8710-6E6C3446D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65314</xdr:colOff>
      <xdr:row>1</xdr:row>
      <xdr:rowOff>70393</xdr:rowOff>
    </xdr:from>
    <xdr:to>
      <xdr:col>1</xdr:col>
      <xdr:colOff>1961635</xdr:colOff>
      <xdr:row>10</xdr:row>
      <xdr:rowOff>76200</xdr:rowOff>
    </xdr:to>
    <mc:AlternateContent xmlns:mc="http://schemas.openxmlformats.org/markup-compatibility/2006" xmlns:a14="http://schemas.microsoft.com/office/drawing/2010/main">
      <mc:Choice Requires="a14">
        <xdr:graphicFrame macro="">
          <xdr:nvGraphicFramePr>
            <xdr:cNvPr id="30" name="Base">
              <a:extLst>
                <a:ext uri="{FF2B5EF4-FFF2-40B4-BE49-F238E27FC236}">
                  <a16:creationId xmlns:a16="http://schemas.microsoft.com/office/drawing/2014/main" id="{DCC95C36-1E39-71C1-42A0-4098CD906B41}"/>
                </a:ext>
              </a:extLst>
            </xdr:cNvPr>
            <xdr:cNvGraphicFramePr/>
          </xdr:nvGraphicFramePr>
          <xdr:xfrm>
            <a:off x="0" y="0"/>
            <a:ext cx="0" cy="0"/>
          </xdr:xfrm>
          <a:graphic>
            <a:graphicData uri="http://schemas.microsoft.com/office/drawing/2010/slicer">
              <sle:slicer xmlns:sle="http://schemas.microsoft.com/office/drawing/2010/slicer" name="Base"/>
            </a:graphicData>
          </a:graphic>
        </xdr:graphicFrame>
      </mc:Choice>
      <mc:Fallback xmlns="">
        <xdr:sp macro="" textlink="">
          <xdr:nvSpPr>
            <xdr:cNvPr id="0" name=""/>
            <xdr:cNvSpPr>
              <a:spLocks noTextEdit="1"/>
            </xdr:cNvSpPr>
          </xdr:nvSpPr>
          <xdr:spPr>
            <a:xfrm>
              <a:off x="65314" y="1082764"/>
              <a:ext cx="1896321" cy="19870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63910</xdr:colOff>
      <xdr:row>10</xdr:row>
      <xdr:rowOff>70886</xdr:rowOff>
    </xdr:from>
    <xdr:to>
      <xdr:col>1</xdr:col>
      <xdr:colOff>1962150</xdr:colOff>
      <xdr:row>27</xdr:row>
      <xdr:rowOff>65314</xdr:rowOff>
    </xdr:to>
    <mc:AlternateContent xmlns:mc="http://schemas.openxmlformats.org/markup-compatibility/2006" xmlns:a14="http://schemas.microsoft.com/office/drawing/2010/main">
      <mc:Choice Requires="a14">
        <xdr:graphicFrame macro="">
          <xdr:nvGraphicFramePr>
            <xdr:cNvPr id="33" name="Divisi">
              <a:extLst>
                <a:ext uri="{FF2B5EF4-FFF2-40B4-BE49-F238E27FC236}">
                  <a16:creationId xmlns:a16="http://schemas.microsoft.com/office/drawing/2014/main" id="{43010663-46C0-98F1-1F1F-2EB79537A3E4}"/>
                </a:ext>
              </a:extLst>
            </xdr:cNvPr>
            <xdr:cNvGraphicFramePr/>
          </xdr:nvGraphicFramePr>
          <xdr:xfrm>
            <a:off x="0" y="0"/>
            <a:ext cx="0" cy="0"/>
          </xdr:xfrm>
          <a:graphic>
            <a:graphicData uri="http://schemas.microsoft.com/office/drawing/2010/slicer">
              <sle:slicer xmlns:sle="http://schemas.microsoft.com/office/drawing/2010/slicer" name="Divisi"/>
            </a:graphicData>
          </a:graphic>
        </xdr:graphicFrame>
      </mc:Choice>
      <mc:Fallback xmlns="">
        <xdr:sp macro="" textlink="">
          <xdr:nvSpPr>
            <xdr:cNvPr id="0" name=""/>
            <xdr:cNvSpPr>
              <a:spLocks noTextEdit="1"/>
            </xdr:cNvSpPr>
          </xdr:nvSpPr>
          <xdr:spPr>
            <a:xfrm>
              <a:off x="63910" y="3064457"/>
              <a:ext cx="1898240" cy="33798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63679</xdr:colOff>
      <xdr:row>27</xdr:row>
      <xdr:rowOff>64833</xdr:rowOff>
    </xdr:from>
    <xdr:to>
      <xdr:col>1</xdr:col>
      <xdr:colOff>1961635</xdr:colOff>
      <xdr:row>38</xdr:row>
      <xdr:rowOff>76796</xdr:rowOff>
    </xdr:to>
    <mc:AlternateContent xmlns:mc="http://schemas.openxmlformats.org/markup-compatibility/2006" xmlns:a14="http://schemas.microsoft.com/office/drawing/2010/main">
      <mc:Choice Requires="a14">
        <xdr:graphicFrame macro="">
          <xdr:nvGraphicFramePr>
            <xdr:cNvPr id="34" name="Jabatan">
              <a:extLst>
                <a:ext uri="{FF2B5EF4-FFF2-40B4-BE49-F238E27FC236}">
                  <a16:creationId xmlns:a16="http://schemas.microsoft.com/office/drawing/2014/main" id="{AC3A8030-2E25-49BD-E514-85EF6A877A8A}"/>
                </a:ext>
              </a:extLst>
            </xdr:cNvPr>
            <xdr:cNvGraphicFramePr/>
          </xdr:nvGraphicFramePr>
          <xdr:xfrm>
            <a:off x="0" y="0"/>
            <a:ext cx="0" cy="0"/>
          </xdr:xfrm>
          <a:graphic>
            <a:graphicData uri="http://schemas.microsoft.com/office/drawing/2010/slicer">
              <sle:slicer xmlns:sle="http://schemas.microsoft.com/office/drawing/2010/slicer" name="Jabatan"/>
            </a:graphicData>
          </a:graphic>
        </xdr:graphicFrame>
      </mc:Choice>
      <mc:Fallback xmlns="">
        <xdr:sp macro="" textlink="">
          <xdr:nvSpPr>
            <xdr:cNvPr id="0" name=""/>
            <xdr:cNvSpPr>
              <a:spLocks noTextEdit="1"/>
            </xdr:cNvSpPr>
          </xdr:nvSpPr>
          <xdr:spPr>
            <a:xfrm>
              <a:off x="63679" y="6443862"/>
              <a:ext cx="1897956" cy="22653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63500</xdr:colOff>
      <xdr:row>38</xdr:row>
      <xdr:rowOff>81006</xdr:rowOff>
    </xdr:from>
    <xdr:to>
      <xdr:col>1</xdr:col>
      <xdr:colOff>1962616</xdr:colOff>
      <xdr:row>43</xdr:row>
      <xdr:rowOff>116847</xdr:rowOff>
    </xdr:to>
    <mc:AlternateContent xmlns:mc="http://schemas.openxmlformats.org/markup-compatibility/2006" xmlns:a14="http://schemas.microsoft.com/office/drawing/2010/main">
      <mc:Choice Requires="a14">
        <xdr:graphicFrame macro="">
          <xdr:nvGraphicFramePr>
            <xdr:cNvPr id="35" name="Tipe Karyawan">
              <a:extLst>
                <a:ext uri="{FF2B5EF4-FFF2-40B4-BE49-F238E27FC236}">
                  <a16:creationId xmlns:a16="http://schemas.microsoft.com/office/drawing/2014/main" id="{4ABC428A-9765-B119-C879-DBD6C66DDE1B}"/>
                </a:ext>
              </a:extLst>
            </xdr:cNvPr>
            <xdr:cNvGraphicFramePr/>
          </xdr:nvGraphicFramePr>
          <xdr:xfrm>
            <a:off x="0" y="0"/>
            <a:ext cx="0" cy="0"/>
          </xdr:xfrm>
          <a:graphic>
            <a:graphicData uri="http://schemas.microsoft.com/office/drawing/2010/slicer">
              <sle:slicer xmlns:sle="http://schemas.microsoft.com/office/drawing/2010/slicer" name="Tipe Karyawan"/>
            </a:graphicData>
          </a:graphic>
        </xdr:graphicFrame>
      </mc:Choice>
      <mc:Fallback xmlns="">
        <xdr:sp macro="" textlink="">
          <xdr:nvSpPr>
            <xdr:cNvPr id="0" name=""/>
            <xdr:cNvSpPr>
              <a:spLocks noTextEdit="1"/>
            </xdr:cNvSpPr>
          </xdr:nvSpPr>
          <xdr:spPr>
            <a:xfrm>
              <a:off x="63500" y="8713377"/>
              <a:ext cx="1899116" cy="9175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531694</xdr:colOff>
      <xdr:row>12</xdr:row>
      <xdr:rowOff>0</xdr:rowOff>
    </xdr:from>
    <xdr:to>
      <xdr:col>5</xdr:col>
      <xdr:colOff>6743</xdr:colOff>
      <xdr:row>25</xdr:row>
      <xdr:rowOff>4590</xdr:rowOff>
    </xdr:to>
    <xdr:graphicFrame macro="">
      <xdr:nvGraphicFramePr>
        <xdr:cNvPr id="37" name="Chart 36">
          <a:extLst>
            <a:ext uri="{FF2B5EF4-FFF2-40B4-BE49-F238E27FC236}">
              <a16:creationId xmlns:a16="http://schemas.microsoft.com/office/drawing/2014/main" id="{F81E3AF7-F05D-405C-BFFB-EB6DDABBF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859972</xdr:colOff>
      <xdr:row>0</xdr:row>
      <xdr:rowOff>288367</xdr:rowOff>
    </xdr:from>
    <xdr:to>
      <xdr:col>10</xdr:col>
      <xdr:colOff>2013861</xdr:colOff>
      <xdr:row>1</xdr:row>
      <xdr:rowOff>0</xdr:rowOff>
    </xdr:to>
    <xdr:sp macro="" textlink="Helper!A6">
      <xdr:nvSpPr>
        <xdr:cNvPr id="43" name="Rectangle 42">
          <a:extLst>
            <a:ext uri="{FF2B5EF4-FFF2-40B4-BE49-F238E27FC236}">
              <a16:creationId xmlns:a16="http://schemas.microsoft.com/office/drawing/2014/main" id="{CE765506-24AB-4A80-BD36-ECCCD8C2E8DA}"/>
            </a:ext>
          </a:extLst>
        </xdr:cNvPr>
        <xdr:cNvSpPr/>
      </xdr:nvSpPr>
      <xdr:spPr>
        <a:xfrm>
          <a:off x="12366172" y="288367"/>
          <a:ext cx="2579918" cy="7240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5B125E0-FC9D-42EA-B857-23A4AF296BB2}" type="TxLink">
            <a:rPr lang="en-US" sz="2800" b="1" i="0" u="none" strike="noStrike">
              <a:solidFill>
                <a:schemeClr val="bg1"/>
              </a:solidFill>
              <a:latin typeface="Calibri"/>
              <a:ea typeface="Calibri"/>
              <a:cs typeface="Calibri"/>
            </a:rPr>
            <a:pPr algn="r"/>
            <a:t>36.6 Tahun</a:t>
          </a:fld>
          <a:endParaRPr lang="en-ID" sz="8800" b="1">
            <a:solidFill>
              <a:schemeClr val="bg1"/>
            </a:solidFill>
          </a:endParaRPr>
        </a:p>
      </xdr:txBody>
    </xdr:sp>
    <xdr:clientData/>
  </xdr:twoCellAnchor>
  <xdr:twoCellAnchor editAs="oneCell">
    <xdr:from>
      <xdr:col>13</xdr:col>
      <xdr:colOff>381002</xdr:colOff>
      <xdr:row>0</xdr:row>
      <xdr:rowOff>457198</xdr:rowOff>
    </xdr:from>
    <xdr:to>
      <xdr:col>13</xdr:col>
      <xdr:colOff>769256</xdr:colOff>
      <xdr:row>0</xdr:row>
      <xdr:rowOff>827313</xdr:rowOff>
    </xdr:to>
    <xdr:pic>
      <xdr:nvPicPr>
        <xdr:cNvPr id="46" name="Graphic 45" descr="Tax with solid fill">
          <a:extLst>
            <a:ext uri="{FF2B5EF4-FFF2-40B4-BE49-F238E27FC236}">
              <a16:creationId xmlns:a16="http://schemas.microsoft.com/office/drawing/2014/main" id="{8A4E2162-E950-4589-82A1-93B745C17C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7787259" y="457198"/>
          <a:ext cx="388254" cy="370115"/>
        </a:xfrm>
        <a:prstGeom prst="rect">
          <a:avLst/>
        </a:prstGeom>
      </xdr:spPr>
    </xdr:pic>
    <xdr:clientData/>
  </xdr:twoCellAnchor>
  <xdr:twoCellAnchor editAs="oneCell">
    <xdr:from>
      <xdr:col>7</xdr:col>
      <xdr:colOff>1926759</xdr:colOff>
      <xdr:row>0</xdr:row>
      <xdr:rowOff>424543</xdr:rowOff>
    </xdr:from>
    <xdr:to>
      <xdr:col>7</xdr:col>
      <xdr:colOff>2340417</xdr:colOff>
      <xdr:row>0</xdr:row>
      <xdr:rowOff>838201</xdr:rowOff>
    </xdr:to>
    <xdr:pic>
      <xdr:nvPicPr>
        <xdr:cNvPr id="49" name="Graphic 48" descr="Employee badge with solid fill">
          <a:extLst>
            <a:ext uri="{FF2B5EF4-FFF2-40B4-BE49-F238E27FC236}">
              <a16:creationId xmlns:a16="http://schemas.microsoft.com/office/drawing/2014/main" id="{6013ED26-EC95-4BD6-B20B-EFC7A68C3B3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384959" y="424543"/>
          <a:ext cx="413658" cy="413658"/>
        </a:xfrm>
        <a:prstGeom prst="rect">
          <a:avLst/>
        </a:prstGeom>
      </xdr:spPr>
    </xdr:pic>
    <xdr:clientData/>
  </xdr:twoCellAnchor>
  <xdr:twoCellAnchor editAs="oneCell">
    <xdr:from>
      <xdr:col>9</xdr:col>
      <xdr:colOff>892629</xdr:colOff>
      <xdr:row>0</xdr:row>
      <xdr:rowOff>424542</xdr:rowOff>
    </xdr:from>
    <xdr:to>
      <xdr:col>9</xdr:col>
      <xdr:colOff>1317174</xdr:colOff>
      <xdr:row>0</xdr:row>
      <xdr:rowOff>849087</xdr:rowOff>
    </xdr:to>
    <xdr:pic>
      <xdr:nvPicPr>
        <xdr:cNvPr id="50" name="Graphic 49" descr="User with solid fill">
          <a:extLst>
            <a:ext uri="{FF2B5EF4-FFF2-40B4-BE49-F238E27FC236}">
              <a16:creationId xmlns:a16="http://schemas.microsoft.com/office/drawing/2014/main" id="{F3CC86EF-C8ED-412B-AF4F-CC003AF31C5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98829" y="424542"/>
          <a:ext cx="424545" cy="424545"/>
        </a:xfrm>
        <a:prstGeom prst="rect">
          <a:avLst/>
        </a:prstGeom>
      </xdr:spPr>
    </xdr:pic>
    <xdr:clientData/>
  </xdr:twoCellAnchor>
  <xdr:twoCellAnchor editAs="oneCell">
    <xdr:from>
      <xdr:col>10</xdr:col>
      <xdr:colOff>2253340</xdr:colOff>
      <xdr:row>0</xdr:row>
      <xdr:rowOff>457201</xdr:rowOff>
    </xdr:from>
    <xdr:to>
      <xdr:col>11</xdr:col>
      <xdr:colOff>174168</xdr:colOff>
      <xdr:row>0</xdr:row>
      <xdr:rowOff>827314</xdr:rowOff>
    </xdr:to>
    <xdr:pic>
      <xdr:nvPicPr>
        <xdr:cNvPr id="51" name="Graphic 50" descr="Bar graph with upward trend with solid fill">
          <a:extLst>
            <a:ext uri="{FF2B5EF4-FFF2-40B4-BE49-F238E27FC236}">
              <a16:creationId xmlns:a16="http://schemas.microsoft.com/office/drawing/2014/main" id="{2121B376-0C46-48F1-AA81-2B02F0E988C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185569" y="457201"/>
          <a:ext cx="370113" cy="370113"/>
        </a:xfrm>
        <a:prstGeom prst="rect">
          <a:avLst/>
        </a:prstGeom>
      </xdr:spPr>
    </xdr:pic>
    <xdr:clientData/>
  </xdr:twoCellAnchor>
  <xdr:twoCellAnchor>
    <xdr:from>
      <xdr:col>7</xdr:col>
      <xdr:colOff>1774371</xdr:colOff>
      <xdr:row>0</xdr:row>
      <xdr:rowOff>10885</xdr:rowOff>
    </xdr:from>
    <xdr:to>
      <xdr:col>9</xdr:col>
      <xdr:colOff>674909</xdr:colOff>
      <xdr:row>0</xdr:row>
      <xdr:rowOff>500741</xdr:rowOff>
    </xdr:to>
    <xdr:sp macro="" textlink="Helper!A2">
      <xdr:nvSpPr>
        <xdr:cNvPr id="4" name="Rectangle 3">
          <a:extLst>
            <a:ext uri="{FF2B5EF4-FFF2-40B4-BE49-F238E27FC236}">
              <a16:creationId xmlns:a16="http://schemas.microsoft.com/office/drawing/2014/main" id="{9D6B8A0E-559E-4FFA-A70F-B09821015486}"/>
            </a:ext>
          </a:extLst>
        </xdr:cNvPr>
        <xdr:cNvSpPr/>
      </xdr:nvSpPr>
      <xdr:spPr>
        <a:xfrm>
          <a:off x="10232571" y="10885"/>
          <a:ext cx="1948538" cy="48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i="0" u="none" strike="noStrike">
              <a:solidFill>
                <a:schemeClr val="bg1"/>
              </a:solidFill>
              <a:latin typeface="Calibri"/>
              <a:ea typeface="Calibri"/>
              <a:cs typeface="Calibri"/>
            </a:rPr>
            <a:t>Jumlah Karyawan</a:t>
          </a:r>
          <a:endParaRPr lang="en-ID" sz="6600" b="1">
            <a:solidFill>
              <a:schemeClr val="bg1"/>
            </a:solidFill>
          </a:endParaRPr>
        </a:p>
      </xdr:txBody>
    </xdr:sp>
    <xdr:clientData/>
  </xdr:twoCellAnchor>
  <xdr:twoCellAnchor>
    <xdr:from>
      <xdr:col>7</xdr:col>
      <xdr:colOff>1121226</xdr:colOff>
      <xdr:row>0</xdr:row>
      <xdr:rowOff>293915</xdr:rowOff>
    </xdr:from>
    <xdr:to>
      <xdr:col>9</xdr:col>
      <xdr:colOff>653144</xdr:colOff>
      <xdr:row>1</xdr:row>
      <xdr:rowOff>5548</xdr:rowOff>
    </xdr:to>
    <xdr:sp macro="" textlink="Helper!A2">
      <xdr:nvSpPr>
        <xdr:cNvPr id="6" name="Rectangle 5">
          <a:extLst>
            <a:ext uri="{FF2B5EF4-FFF2-40B4-BE49-F238E27FC236}">
              <a16:creationId xmlns:a16="http://schemas.microsoft.com/office/drawing/2014/main" id="{5A4C4207-66DB-49E5-BF62-7A57372F6AE4}"/>
            </a:ext>
          </a:extLst>
        </xdr:cNvPr>
        <xdr:cNvSpPr/>
      </xdr:nvSpPr>
      <xdr:spPr>
        <a:xfrm>
          <a:off x="9579426" y="293915"/>
          <a:ext cx="2579918" cy="7240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6984938-88C9-4982-8D55-8FD5794D6BDA}" type="TxLink">
            <a:rPr lang="en-US" sz="2800" b="1" i="0" u="none" strike="noStrike">
              <a:solidFill>
                <a:schemeClr val="bg1"/>
              </a:solidFill>
              <a:latin typeface="Calibri"/>
              <a:ea typeface="Calibri"/>
              <a:cs typeface="Calibri"/>
            </a:rPr>
            <a:pPr algn="r"/>
            <a:t>123</a:t>
          </a:fld>
          <a:endParaRPr lang="en-ID" sz="28700" b="1">
            <a:solidFill>
              <a:schemeClr val="bg1"/>
            </a:solidFill>
          </a:endParaRPr>
        </a:p>
      </xdr:txBody>
    </xdr:sp>
    <xdr:clientData/>
  </xdr:twoCellAnchor>
  <xdr:twoCellAnchor>
    <xdr:from>
      <xdr:col>9</xdr:col>
      <xdr:colOff>674913</xdr:colOff>
      <xdr:row>0</xdr:row>
      <xdr:rowOff>10886</xdr:rowOff>
    </xdr:from>
    <xdr:to>
      <xdr:col>10</xdr:col>
      <xdr:colOff>2002969</xdr:colOff>
      <xdr:row>0</xdr:row>
      <xdr:rowOff>500742</xdr:rowOff>
    </xdr:to>
    <xdr:sp macro="" textlink="Helper!A2">
      <xdr:nvSpPr>
        <xdr:cNvPr id="9" name="Rectangle 8">
          <a:extLst>
            <a:ext uri="{FF2B5EF4-FFF2-40B4-BE49-F238E27FC236}">
              <a16:creationId xmlns:a16="http://schemas.microsoft.com/office/drawing/2014/main" id="{9D55653F-D6F5-44ED-BB48-C20628CDD826}"/>
            </a:ext>
          </a:extLst>
        </xdr:cNvPr>
        <xdr:cNvSpPr/>
      </xdr:nvSpPr>
      <xdr:spPr>
        <a:xfrm>
          <a:off x="12181113" y="10886"/>
          <a:ext cx="2754085" cy="48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i="0" u="none" strike="noStrike">
              <a:solidFill>
                <a:schemeClr val="bg1"/>
              </a:solidFill>
              <a:latin typeface="Calibri"/>
              <a:ea typeface="Calibri"/>
              <a:cs typeface="Calibri"/>
            </a:rPr>
            <a:t>Rata-Rata</a:t>
          </a:r>
          <a:r>
            <a:rPr lang="en-US" sz="1800" b="1" i="0" u="none" strike="noStrike" baseline="0">
              <a:solidFill>
                <a:schemeClr val="bg1"/>
              </a:solidFill>
              <a:latin typeface="Calibri"/>
              <a:ea typeface="Calibri"/>
              <a:cs typeface="Calibri"/>
            </a:rPr>
            <a:t> Usia Karyawan</a:t>
          </a:r>
          <a:endParaRPr lang="en-ID" sz="6600" b="1">
            <a:solidFill>
              <a:schemeClr val="bg1"/>
            </a:solidFill>
          </a:endParaRPr>
        </a:p>
      </xdr:txBody>
    </xdr:sp>
    <xdr:clientData/>
  </xdr:twoCellAnchor>
  <xdr:twoCellAnchor>
    <xdr:from>
      <xdr:col>10</xdr:col>
      <xdr:colOff>2035626</xdr:colOff>
      <xdr:row>0</xdr:row>
      <xdr:rowOff>283027</xdr:rowOff>
    </xdr:from>
    <xdr:to>
      <xdr:col>13</xdr:col>
      <xdr:colOff>141516</xdr:colOff>
      <xdr:row>0</xdr:row>
      <xdr:rowOff>1007031</xdr:rowOff>
    </xdr:to>
    <xdr:sp macro="" textlink="Helper!A10">
      <xdr:nvSpPr>
        <xdr:cNvPr id="13" name="Rectangle 12">
          <a:extLst>
            <a:ext uri="{FF2B5EF4-FFF2-40B4-BE49-F238E27FC236}">
              <a16:creationId xmlns:a16="http://schemas.microsoft.com/office/drawing/2014/main" id="{B3011BF5-C2C0-4668-B1A4-087A508AAB38}"/>
            </a:ext>
          </a:extLst>
        </xdr:cNvPr>
        <xdr:cNvSpPr/>
      </xdr:nvSpPr>
      <xdr:spPr>
        <a:xfrm>
          <a:off x="14967855" y="283027"/>
          <a:ext cx="2579918" cy="7240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1D60F41-7E55-4683-864A-36C6362D78B9}" type="TxLink">
            <a:rPr lang="en-US" sz="2800" b="1" i="0" u="none" strike="noStrike">
              <a:solidFill>
                <a:schemeClr val="bg1"/>
              </a:solidFill>
              <a:latin typeface="Calibri"/>
              <a:ea typeface="Calibri"/>
              <a:cs typeface="Calibri"/>
            </a:rPr>
            <a:pPr algn="r"/>
            <a:t>78.3%</a:t>
          </a:fld>
          <a:endParaRPr lang="en-ID" sz="2800" b="1">
            <a:solidFill>
              <a:schemeClr val="bg1"/>
            </a:solidFill>
          </a:endParaRPr>
        </a:p>
      </xdr:txBody>
    </xdr:sp>
    <xdr:clientData/>
  </xdr:twoCellAnchor>
  <xdr:twoCellAnchor>
    <xdr:from>
      <xdr:col>10</xdr:col>
      <xdr:colOff>1861452</xdr:colOff>
      <xdr:row>0</xdr:row>
      <xdr:rowOff>0</xdr:rowOff>
    </xdr:from>
    <xdr:to>
      <xdr:col>13</xdr:col>
      <xdr:colOff>141509</xdr:colOff>
      <xdr:row>0</xdr:row>
      <xdr:rowOff>489856</xdr:rowOff>
    </xdr:to>
    <xdr:sp macro="" textlink="Helper!A2">
      <xdr:nvSpPr>
        <xdr:cNvPr id="14" name="Rectangle 13">
          <a:extLst>
            <a:ext uri="{FF2B5EF4-FFF2-40B4-BE49-F238E27FC236}">
              <a16:creationId xmlns:a16="http://schemas.microsoft.com/office/drawing/2014/main" id="{327AAEA4-94CE-444F-A171-FF51A53658D6}"/>
            </a:ext>
          </a:extLst>
        </xdr:cNvPr>
        <xdr:cNvSpPr/>
      </xdr:nvSpPr>
      <xdr:spPr>
        <a:xfrm>
          <a:off x="14793681" y="0"/>
          <a:ext cx="2754085" cy="48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i="0" u="none" strike="noStrike">
              <a:solidFill>
                <a:schemeClr val="bg1"/>
              </a:solidFill>
              <a:latin typeface="Calibri"/>
              <a:ea typeface="Calibri"/>
              <a:cs typeface="Calibri"/>
            </a:rPr>
            <a:t>Rata-Rata</a:t>
          </a:r>
          <a:r>
            <a:rPr lang="en-US" sz="1800" b="1" i="0" u="none" strike="noStrike" baseline="0">
              <a:solidFill>
                <a:schemeClr val="bg1"/>
              </a:solidFill>
              <a:latin typeface="Calibri"/>
              <a:ea typeface="Calibri"/>
              <a:cs typeface="Calibri"/>
            </a:rPr>
            <a:t> Performa KPI</a:t>
          </a:r>
          <a:endParaRPr lang="en-ID" sz="6600" b="1">
            <a:solidFill>
              <a:schemeClr val="bg1"/>
            </a:solidFill>
          </a:endParaRPr>
        </a:p>
      </xdr:txBody>
    </xdr:sp>
    <xdr:clientData/>
  </xdr:twoCellAnchor>
  <xdr:twoCellAnchor>
    <xdr:from>
      <xdr:col>12</xdr:col>
      <xdr:colOff>1393375</xdr:colOff>
      <xdr:row>0</xdr:row>
      <xdr:rowOff>283027</xdr:rowOff>
    </xdr:from>
    <xdr:to>
      <xdr:col>14</xdr:col>
      <xdr:colOff>97979</xdr:colOff>
      <xdr:row>0</xdr:row>
      <xdr:rowOff>1007031</xdr:rowOff>
    </xdr:to>
    <xdr:sp macro="" textlink="Helper!A14">
      <xdr:nvSpPr>
        <xdr:cNvPr id="15" name="Rectangle 14">
          <a:extLst>
            <a:ext uri="{FF2B5EF4-FFF2-40B4-BE49-F238E27FC236}">
              <a16:creationId xmlns:a16="http://schemas.microsoft.com/office/drawing/2014/main" id="{72E7CFDD-E146-46C4-84EC-7B986408A19C}"/>
            </a:ext>
          </a:extLst>
        </xdr:cNvPr>
        <xdr:cNvSpPr/>
      </xdr:nvSpPr>
      <xdr:spPr>
        <a:xfrm>
          <a:off x="17373604" y="283027"/>
          <a:ext cx="2579918" cy="7240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78181CC-F327-4024-9952-40247240055C}" type="TxLink">
            <a:rPr lang="en-US" sz="2800" b="1" i="0" u="none" strike="noStrike">
              <a:solidFill>
                <a:schemeClr val="bg1"/>
              </a:solidFill>
              <a:latin typeface="Calibri"/>
              <a:ea typeface="Calibri"/>
              <a:cs typeface="Calibri"/>
            </a:rPr>
            <a:pPr algn="r"/>
            <a:t>1.27 Miliar</a:t>
          </a:fld>
          <a:endParaRPr lang="en-ID" sz="6000" b="1">
            <a:solidFill>
              <a:schemeClr val="bg1"/>
            </a:solidFill>
          </a:endParaRPr>
        </a:p>
      </xdr:txBody>
    </xdr:sp>
    <xdr:clientData/>
  </xdr:twoCellAnchor>
  <xdr:twoCellAnchor>
    <xdr:from>
      <xdr:col>12</xdr:col>
      <xdr:colOff>1240966</xdr:colOff>
      <xdr:row>0</xdr:row>
      <xdr:rowOff>0</xdr:rowOff>
    </xdr:from>
    <xdr:to>
      <xdr:col>14</xdr:col>
      <xdr:colOff>119737</xdr:colOff>
      <xdr:row>0</xdr:row>
      <xdr:rowOff>489856</xdr:rowOff>
    </xdr:to>
    <xdr:sp macro="" textlink="Helper!A2">
      <xdr:nvSpPr>
        <xdr:cNvPr id="16" name="Rectangle 15">
          <a:extLst>
            <a:ext uri="{FF2B5EF4-FFF2-40B4-BE49-F238E27FC236}">
              <a16:creationId xmlns:a16="http://schemas.microsoft.com/office/drawing/2014/main" id="{F5B1D830-585E-4680-9CF0-31FFC62876B6}"/>
            </a:ext>
          </a:extLst>
        </xdr:cNvPr>
        <xdr:cNvSpPr/>
      </xdr:nvSpPr>
      <xdr:spPr>
        <a:xfrm>
          <a:off x="17221195" y="0"/>
          <a:ext cx="2754085" cy="4898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i="0" u="none" strike="noStrike">
              <a:solidFill>
                <a:schemeClr val="bg1"/>
              </a:solidFill>
              <a:latin typeface="Calibri"/>
              <a:ea typeface="Calibri"/>
              <a:cs typeface="Calibri"/>
            </a:rPr>
            <a:t>Total Gaji Dibayarkan</a:t>
          </a:r>
          <a:endParaRPr lang="en-ID" sz="6600" b="1">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och%20Ardi%20Firmansyah\Downloads\10-Advanced-Excel-Charts.xlsx" TargetMode="External"/><Relationship Id="rId1" Type="http://schemas.openxmlformats.org/officeDocument/2006/relationships/externalLinkPath" Target="file:///C:\Users\Moch%20Ardi%20Firmansyah\Downloads\10-Advanced-Excel-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elcome"/>
      <sheetName val="10 Charts"/>
      <sheetName val="1. Percent Change"/>
      <sheetName val="2. Conditional Donut"/>
      <sheetName val="3. Histogram with Details"/>
      <sheetName val="4. Dynamic Histogram"/>
      <sheetName val="5. Annual &amp; Monthly"/>
      <sheetName val="6. Waterfall Dashboard"/>
      <sheetName val="7. Variance on Clustered"/>
      <sheetName val="8. Actual vs Target"/>
      <sheetName val="8. Actual vs Goal Pct"/>
      <sheetName val="9. Dynamic Labels"/>
      <sheetName val="10. Comparative Distribution"/>
      <sheetName val="Source Data&gt;&gt;"/>
      <sheetName val="1. Pivot"/>
      <sheetName val="1. Data"/>
      <sheetName val="3. Pivots"/>
      <sheetName val="3. Data"/>
      <sheetName val="3. Groups"/>
      <sheetName val="4. Data"/>
      <sheetName val="5. Monthly Avg"/>
      <sheetName val="5. Season Trend"/>
      <sheetName val="5. Data"/>
      <sheetName val="5. Lists"/>
      <sheetName val="6. Waterfall Chart"/>
      <sheetName val="6. Pivot"/>
      <sheetName val="6. Data"/>
      <sheetName val="9. Slicer Pivot"/>
      <sheetName val="Source"/>
      <sheetName val="2. Conditional Donut (2)"/>
    </sheetNames>
    <sheetDataSet>
      <sheetData sheetId="0" refreshError="1"/>
      <sheetData sheetId="1" refreshError="1"/>
      <sheetData sheetId="2" refreshError="1"/>
      <sheetData sheetId="3">
        <row r="6">
          <cell r="C6" t="str">
            <v>Data Series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v>1970</v>
          </cell>
        </row>
        <row r="3">
          <cell r="A3">
            <v>1971</v>
          </cell>
        </row>
        <row r="4">
          <cell r="A4">
            <v>1972</v>
          </cell>
        </row>
        <row r="5">
          <cell r="A5">
            <v>1973</v>
          </cell>
        </row>
        <row r="6">
          <cell r="A6">
            <v>1974</v>
          </cell>
        </row>
        <row r="7">
          <cell r="A7">
            <v>1975</v>
          </cell>
        </row>
        <row r="8">
          <cell r="A8">
            <v>1976</v>
          </cell>
        </row>
        <row r="9">
          <cell r="A9">
            <v>1977</v>
          </cell>
        </row>
        <row r="10">
          <cell r="A10">
            <v>1978</v>
          </cell>
        </row>
        <row r="11">
          <cell r="A11">
            <v>1979</v>
          </cell>
        </row>
        <row r="12">
          <cell r="A12">
            <v>1980</v>
          </cell>
        </row>
        <row r="13">
          <cell r="A13">
            <v>1981</v>
          </cell>
        </row>
        <row r="14">
          <cell r="A14">
            <v>1982</v>
          </cell>
        </row>
        <row r="15">
          <cell r="A15">
            <v>1983</v>
          </cell>
        </row>
        <row r="16">
          <cell r="A16">
            <v>1984</v>
          </cell>
        </row>
        <row r="17">
          <cell r="A17">
            <v>1985</v>
          </cell>
        </row>
        <row r="18">
          <cell r="A18">
            <v>1986</v>
          </cell>
        </row>
        <row r="19">
          <cell r="A19">
            <v>1987</v>
          </cell>
        </row>
        <row r="20">
          <cell r="A20">
            <v>1988</v>
          </cell>
        </row>
        <row r="21">
          <cell r="A21">
            <v>1989</v>
          </cell>
        </row>
        <row r="22">
          <cell r="A22">
            <v>1990</v>
          </cell>
        </row>
        <row r="23">
          <cell r="A23">
            <v>1991</v>
          </cell>
        </row>
        <row r="24">
          <cell r="A24">
            <v>1992</v>
          </cell>
        </row>
        <row r="25">
          <cell r="A25">
            <v>1993</v>
          </cell>
        </row>
        <row r="26">
          <cell r="A26">
            <v>1994</v>
          </cell>
        </row>
        <row r="27">
          <cell r="A27">
            <v>1995</v>
          </cell>
        </row>
        <row r="28">
          <cell r="A28">
            <v>1996</v>
          </cell>
        </row>
        <row r="29">
          <cell r="A29">
            <v>1997</v>
          </cell>
        </row>
        <row r="30">
          <cell r="A30">
            <v>1998</v>
          </cell>
        </row>
        <row r="31">
          <cell r="A31">
            <v>1999</v>
          </cell>
        </row>
        <row r="32">
          <cell r="A32">
            <v>2000</v>
          </cell>
        </row>
        <row r="33">
          <cell r="A33">
            <v>2001</v>
          </cell>
        </row>
        <row r="34">
          <cell r="A34">
            <v>2002</v>
          </cell>
        </row>
        <row r="35">
          <cell r="A35">
            <v>2003</v>
          </cell>
        </row>
        <row r="36">
          <cell r="A36">
            <v>2004</v>
          </cell>
        </row>
        <row r="37">
          <cell r="A37">
            <v>2005</v>
          </cell>
        </row>
        <row r="38">
          <cell r="A38">
            <v>2006</v>
          </cell>
        </row>
        <row r="39">
          <cell r="A39">
            <v>2007</v>
          </cell>
        </row>
        <row r="40">
          <cell r="A40">
            <v>2008</v>
          </cell>
        </row>
        <row r="41">
          <cell r="A41">
            <v>2009</v>
          </cell>
        </row>
        <row r="42">
          <cell r="A42">
            <v>2010</v>
          </cell>
        </row>
        <row r="43">
          <cell r="A43">
            <v>2011</v>
          </cell>
        </row>
        <row r="44">
          <cell r="A44">
            <v>2012</v>
          </cell>
        </row>
        <row r="45">
          <cell r="A45">
            <v>2013</v>
          </cell>
        </row>
        <row r="46">
          <cell r="A46">
            <v>2014</v>
          </cell>
        </row>
        <row r="47">
          <cell r="A47">
            <v>2015</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cky Candra" refreshedDate="46107.828461342593" createdVersion="8" refreshedVersion="8" minRefreshableVersion="3" recordCount="123" xr:uid="{09128854-BDC0-4895-B43C-8A39E39291E6}">
  <cacheSource type="worksheet">
    <worksheetSource ref="A1:Q124" sheet="Data Karyawan"/>
  </cacheSource>
  <cacheFields count="21">
    <cacheField name="No ID" numFmtId="0">
      <sharedItems/>
    </cacheField>
    <cacheField name="Nama Karyawan" numFmtId="0">
      <sharedItems count="121">
        <s v="Dewi Kartini"/>
        <s v="Siti Rahayu"/>
        <s v="Lina Puspitasari"/>
        <s v="Ratna Kusuma"/>
        <s v="Chicco Jerikho"/>
        <s v="Arifin Sutedjo"/>
        <s v="Agus Suharto"/>
        <s v="Lita Damayanti"/>
        <s v="Eko Pramono"/>
        <s v="Lina Handayani"/>
        <s v="Chicco Kurniawan"/>
        <s v="Yanto Setiawan"/>
        <s v="Joko Nugroho"/>
        <s v="Arianto Wibowo"/>
        <s v="Erwin Gutawa"/>
        <s v="Aliando Syarief"/>
        <s v="Tuti Rahmawati"/>
        <s v="Eko Sutomo"/>
        <s v="Rina Kurniati"/>
        <s v="Arif Setiawan"/>
        <s v="Choky Sitohang"/>
        <s v="Retno Cahyani"/>
        <s v="Benyamin Sueb"/>
        <s v="Rudi Haryanto"/>
        <s v="Alvaro Maldini"/>
        <s v="Wati Sulistiani"/>
        <s v="Budi Santoso"/>
        <s v="Indah Wulandari"/>
        <s v="Dodit Mulyanto"/>
        <s v="Putri Sari"/>
        <s v="Al Ghazali"/>
        <s v="Retno Sulistyowati"/>
        <s v="Alvin Adam"/>
        <s v="Nita Permata"/>
        <s v="Bertrand Antolin"/>
        <s v="Wulan Puspita"/>
        <s v="Maya Wati"/>
        <s v="Aaron Ashab"/>
        <s v="Surya Permana"/>
        <s v="Retno Purnomo"/>
        <s v="Joko Susanto"/>
        <s v="Donny Alamsyah"/>
        <s v="Nia Fitriani"/>
        <s v="Astuti Hartati"/>
        <s v="Rizal Prasetya"/>
        <s v="Nita Wulandari"/>
        <s v="Esa Sigit"/>
        <s v="Rika Sari"/>
        <s v="Winda Pertiwi"/>
        <s v="Agus Santoso"/>
        <s v="Rudi Prasetya"/>
        <s v="Dedy Santoso"/>
        <s v="Bagus Satria"/>
        <s v="Ahmad Hidayat"/>
        <s v="Sigit Saputra"/>
        <s v="Agus Nugroho"/>
        <s v="Joko Sutrisno"/>
        <s v="Iwan Prasetyo"/>
        <s v="Dodi Nugraha"/>
        <s v="Dian Purnama"/>
        <s v="Ernest Prakasa"/>
        <s v="Yudi Susilo"/>
        <s v="Rudi Hartono"/>
        <s v="Rani Kartika"/>
        <s v="Hadi Nugroho"/>
        <s v="Rina Dewi"/>
        <s v="Agung Prasetyo"/>
        <s v="Sari Wulandari"/>
        <s v="Wahyu Prasetyo"/>
        <s v="Bhisma Mulia"/>
        <s v="Mega Fitri"/>
        <s v="Bambang Wijaya"/>
        <s v="Maya Lestari"/>
        <s v="Adi Nugroho"/>
        <s v="Dolly Martin"/>
        <s v="Wulan Indriani"/>
        <s v="Rina Nurhayati"/>
        <s v="Raina Aryani"/>
        <s v="Tari Anggraini"/>
        <s v="Karen Riyanti"/>
        <s v="Titin Aryani"/>
        <s v="Ilsa Utami"/>
        <s v="Jessica Hariyah"/>
        <s v="Almira Hasanah"/>
        <s v="Sari Astuti"/>
        <s v="Aurora Anggraini"/>
        <s v="Vivi Andriani"/>
        <s v="Eka Nashiruddin"/>
        <s v="Adiarja Sirait"/>
        <s v="Sidiq Pranowo"/>
        <s v="Harsana Budiman"/>
        <s v="Galar Halim"/>
        <s v="Kardi Saptono"/>
        <s v="Sabar Situmorang"/>
        <s v="Dimaz Zulkarnain"/>
        <s v="Balapati Prasetya"/>
        <s v="Eja Widodo"/>
        <s v="Prabu Haryanto"/>
        <s v="Cayadi Putra"/>
        <s v="Gambira Pranowo"/>
        <s v="Salman Wasita"/>
        <s v="Wardaya Dongoran"/>
        <s v="Kania Permata"/>
        <s v="Eva Yolanda"/>
        <s v="Amalia Yuniar"/>
        <s v="Ade Rahayu"/>
        <s v="Zizi Usada"/>
        <s v="Gaduh Pratama"/>
        <s v="Laras Nuraini"/>
        <s v="Cinthia Gunawan"/>
        <s v="Bagiya Sihombing"/>
        <s v="Violet Mentari"/>
        <s v="Paiman Firgantoro"/>
        <s v="Ophelia Mustofa"/>
        <s v="Darmanto Laksita"/>
        <s v="Kenari Rajasa"/>
        <s v="Puti Nadine Prakasa"/>
        <s v="Clara Prasetyo"/>
        <s v="Nabila Prakasa"/>
        <s v="Sutan Tirtayasa Wasita"/>
        <s v="Sari Winarno"/>
      </sharedItems>
    </cacheField>
    <cacheField name="Base" numFmtId="0">
      <sharedItems count="6">
        <s v="JAKARTA"/>
        <s v="MEDAN"/>
        <s v="BANDUNG"/>
        <s v="MALANG"/>
        <s v="DENPASAR"/>
        <s v="SURABAYA"/>
      </sharedItems>
    </cacheField>
    <cacheField name="Tipe Karyawan" numFmtId="0">
      <sharedItems count="2">
        <s v="Kontrak"/>
        <s v="Karyawan Tetap"/>
      </sharedItems>
    </cacheField>
    <cacheField name="Mulai Bekerja" numFmtId="14">
      <sharedItems containsSemiMixedTypes="0" containsNonDate="0" containsDate="1" containsString="0" minDate="2000-03-13T00:00:00" maxDate="2024-03-02T00:00:00" count="103">
        <d v="2017-07-04T00:00:00"/>
        <d v="2021-08-09T00:00:00"/>
        <d v="2021-08-16T00:00:00"/>
        <d v="2017-03-06T00:00:00"/>
        <d v="2022-06-06T00:00:00"/>
        <d v="2019-01-14T00:00:00"/>
        <d v="2019-04-22T00:00:00"/>
        <d v="2018-06-25T00:00:00"/>
        <d v="2019-12-02T00:00:00"/>
        <d v="2019-03-04T00:00:00"/>
        <d v="2014-06-02T00:00:00"/>
        <d v="2007-08-01T00:00:00"/>
        <d v="2010-10-01T00:00:00"/>
        <d v="2018-11-01T00:00:00"/>
        <d v="2000-08-01T00:00:00"/>
        <d v="2009-11-09T00:00:00"/>
        <d v="2017-06-14T00:00:00"/>
        <d v="2022-12-05T00:00:00"/>
        <d v="2018-04-16T00:00:00"/>
        <d v="2006-07-24T00:00:00"/>
        <d v="2022-01-10T00:00:00"/>
        <d v="2022-05-10T00:00:00"/>
        <d v="2020-07-01T00:00:00"/>
        <d v="2022-05-09T00:00:00"/>
        <d v="2017-05-15T00:00:00"/>
        <d v="2018-03-05T00:00:00"/>
        <d v="2023-01-02T00:00:00"/>
        <d v="2017-07-17T00:00:00"/>
        <d v="2018-06-21T00:00:00"/>
        <d v="2018-09-03T00:00:00"/>
        <d v="2005-07-01T00:00:00"/>
        <d v="2019-12-09T00:00:00"/>
        <d v="2012-09-17T00:00:00"/>
        <d v="2012-01-02T00:00:00"/>
        <d v="2019-10-10T00:00:00"/>
        <d v="2022-02-02T00:00:00"/>
        <d v="2016-02-01T00:00:00"/>
        <d v="2016-02-10T00:00:00"/>
        <d v="2020-01-20T00:00:00"/>
        <d v="2013-02-18T00:00:00"/>
        <d v="2011-04-11T00:00:00"/>
        <d v="2004-05-10T00:00:00"/>
        <d v="2006-05-01T00:00:00"/>
        <d v="2000-06-01T00:00:00"/>
        <d v="2024-03-01T00:00:00"/>
        <d v="2019-09-02T00:00:00"/>
        <d v="2018-07-02T00:00:00"/>
        <d v="2023-03-20T00:00:00"/>
        <d v="2016-08-01T00:00:00"/>
        <d v="2020-10-19T00:00:00"/>
        <d v="2014-11-01T00:00:00"/>
        <d v="2016-12-01T00:00:00"/>
        <d v="2016-12-13T00:00:00"/>
        <d v="2004-03-11T00:00:00"/>
        <d v="2012-09-10T00:00:00"/>
        <d v="2023-02-01T00:00:00"/>
        <d v="2000-05-01T00:00:00"/>
        <d v="2018-05-07T00:00:00"/>
        <d v="2022-03-21T00:00:00"/>
        <d v="2006-08-01T00:00:00"/>
        <d v="2019-06-10T00:00:00"/>
        <d v="2022-09-05T00:00:00"/>
        <d v="2018-12-06T00:00:00"/>
        <d v="2000-03-13T00:00:00"/>
        <d v="2017-07-03T00:00:00"/>
        <d v="2019-06-11T00:00:00"/>
        <d v="2008-10-20T00:00:00"/>
        <d v="2015-03-02T00:00:00"/>
        <d v="2013-04-01T00:00:00"/>
        <d v="2007-03-26T00:00:00"/>
        <d v="2022-10-24T00:00:00"/>
        <d v="2006-06-01T00:00:00"/>
        <d v="2018-04-26T00:00:00"/>
        <d v="2022-11-21T00:00:00"/>
        <d v="2021-12-01T00:00:00"/>
        <d v="2018-11-26T00:00:00"/>
        <d v="2019-07-01T00:00:00"/>
        <d v="2018-11-12T00:00:00"/>
        <d v="2016-08-15T00:00:00"/>
        <d v="2002-12-11T00:00:00"/>
        <d v="2020-12-07T00:00:00"/>
        <d v="2016-01-11T00:00:00"/>
        <d v="2023-02-20T00:00:00"/>
        <d v="2006-10-09T00:00:00"/>
        <d v="2017-02-01T00:00:00"/>
        <d v="2017-12-18T00:00:00"/>
        <d v="2008-07-28T00:00:00"/>
        <d v="2020-01-13T00:00:00"/>
        <d v="2017-07-11T00:00:00"/>
        <d v="2016-08-26T00:00:00"/>
        <d v="2016-04-15T00:00:00"/>
        <d v="2021-11-01T00:00:00"/>
        <d v="2010-07-12T00:00:00"/>
        <d v="2014-04-21T00:00:00"/>
        <d v="2015-09-01T00:00:00"/>
        <d v="2018-08-20T00:00:00"/>
        <d v="2017-08-14T00:00:00"/>
        <d v="2008-01-02T00:00:00"/>
        <d v="2021-09-20T00:00:00"/>
        <d v="2018-08-01T00:00:00"/>
        <d v="2022-12-21T00:00:00"/>
        <d v="2019-10-21T00:00:00"/>
        <d v="2017-07-10T00:00:00"/>
      </sharedItems>
      <fieldGroup par="19"/>
    </cacheField>
    <cacheField name="Agama" numFmtId="0">
      <sharedItems/>
    </cacheField>
    <cacheField name="Kode Jenis Kelamin" numFmtId="0">
      <sharedItems/>
    </cacheField>
    <cacheField name="Jenis Kelamin" numFmtId="0">
      <sharedItems count="2">
        <s v="Perempuan"/>
        <s v="Laki-Laki"/>
      </sharedItems>
    </cacheField>
    <cacheField name="Tempat" numFmtId="0">
      <sharedItems/>
    </cacheField>
    <cacheField name="Tanggal Lahir" numFmtId="14">
      <sharedItems containsSemiMixedTypes="0" containsNonDate="0" containsDate="1" containsString="0" minDate="1970-05-29T00:00:00" maxDate="2000-06-17T00:00:00"/>
    </cacheField>
    <cacheField name="Usia" numFmtId="0">
      <sharedItems containsSemiMixedTypes="0" containsString="0" containsNumber="1" containsInteger="1" minValue="25" maxValue="55" count="27">
        <n v="38"/>
        <n v="33"/>
        <n v="30"/>
        <n v="34"/>
        <n v="29"/>
        <n v="32"/>
        <n v="31"/>
        <n v="35"/>
        <n v="46"/>
        <n v="40"/>
        <n v="36"/>
        <n v="50"/>
        <n v="41"/>
        <n v="39"/>
        <n v="42"/>
        <n v="37"/>
        <n v="45"/>
        <n v="54"/>
        <n v="47"/>
        <n v="49"/>
        <n v="55"/>
        <n v="28"/>
        <n v="48"/>
        <n v="27"/>
        <n v="43"/>
        <n v="52"/>
        <n v="25"/>
      </sharedItems>
    </cacheField>
    <cacheField name="KPI Performance" numFmtId="9">
      <sharedItems containsSemiMixedTypes="0" containsString="0" containsNumber="1" minValue="0.6" maxValue="1"/>
    </cacheField>
    <cacheField name="Divisi" numFmtId="0">
      <sharedItems count="11">
        <s v="Marketing"/>
        <s v="Finance"/>
        <s v="Production"/>
        <s v="Sales"/>
        <s v="Human Resources"/>
        <s v="Procurement"/>
        <s v="Executive"/>
        <s v="IT"/>
        <s v="Data"/>
        <s v="Customer Service"/>
        <s v="Account Manager"/>
      </sharedItems>
    </cacheField>
    <cacheField name="Jabatan" numFmtId="0">
      <sharedItems count="7">
        <s v="Senior Staff"/>
        <s v="Supervisor"/>
        <s v="Staff"/>
        <s v="General Manager"/>
        <s v="Senior Manager"/>
        <s v="Junior Manager"/>
        <s v="CEO"/>
      </sharedItems>
    </cacheField>
    <cacheField name="Kode Jabatan" numFmtId="0">
      <sharedItems/>
    </cacheField>
    <cacheField name="Gaji" numFmtId="44">
      <sharedItems containsSemiMixedTypes="0" containsString="0" containsNumber="1" containsInteger="1" minValue="4000000" maxValue="40000000"/>
    </cacheField>
    <cacheField name="Gaji Bonus" numFmtId="44">
      <sharedItems containsSemiMixedTypes="0" containsString="0" containsNumber="1" containsInteger="1" minValue="0" maxValue="36000000"/>
    </cacheField>
    <cacheField name="Months (Mulai Bekerja)" numFmtId="0" databaseField="0">
      <fieldGroup base="4">
        <rangePr groupBy="months" startDate="2000-03-13T00:00:00" endDate="2024-03-02T00:00:00"/>
        <groupItems count="14">
          <s v="&lt;13/03/2000"/>
          <s v="Jan"/>
          <s v="Feb"/>
          <s v="Mar"/>
          <s v="Apr"/>
          <s v="Mei"/>
          <s v="Jun"/>
          <s v="Jul"/>
          <s v="Agu"/>
          <s v="Sep"/>
          <s v="Okt"/>
          <s v="Nov"/>
          <s v="Des"/>
          <s v="&gt;02/03/2024"/>
        </groupItems>
      </fieldGroup>
    </cacheField>
    <cacheField name="Quarters (Mulai Bekerja)" numFmtId="0" databaseField="0">
      <fieldGroup base="4">
        <rangePr groupBy="quarters" startDate="2000-03-13T00:00:00" endDate="2024-03-02T00:00:00"/>
        <groupItems count="6">
          <s v="&lt;13/03/2000"/>
          <s v="Qtr1"/>
          <s v="Qtr2"/>
          <s v="Qtr3"/>
          <s v="Qtr4"/>
          <s v="&gt;02/03/2024"/>
        </groupItems>
      </fieldGroup>
    </cacheField>
    <cacheField name="Years (Mulai Bekerja)" numFmtId="0" databaseField="0">
      <fieldGroup base="4">
        <rangePr groupBy="years" startDate="2000-03-13T00:00:00" endDate="2024-03-02T00:00:00"/>
        <groupItems count="27">
          <s v="&lt;13/03/2000"/>
          <s v="2000"/>
          <s v="2001"/>
          <s v="2002"/>
          <s v="2003"/>
          <s v="2004"/>
          <s v="2005"/>
          <s v="2006"/>
          <s v="2007"/>
          <s v="2008"/>
          <s v="2009"/>
          <s v="2010"/>
          <s v="2011"/>
          <s v="2012"/>
          <s v="2013"/>
          <s v="2014"/>
          <s v="2015"/>
          <s v="2016"/>
          <s v="2017"/>
          <s v="2018"/>
          <s v="2019"/>
          <s v="2020"/>
          <s v="2021"/>
          <s v="2022"/>
          <s v="2023"/>
          <s v="2024"/>
          <s v="&gt;02/03/2024"/>
        </groupItems>
      </fieldGroup>
    </cacheField>
    <cacheField name="Total Gaji (Gaji Pokok &amp; Bonus)" numFmtId="0" formula="Gaji+'Gaji Bonus'" databaseField="0"/>
  </cacheFields>
  <extLst>
    <ext xmlns:x14="http://schemas.microsoft.com/office/spreadsheetml/2009/9/main" uri="{725AE2AE-9491-48be-B2B4-4EB974FC3084}">
      <x14:pivotCacheDefinition pivotCacheId="1159237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s v="N1707"/>
    <x v="0"/>
    <x v="0"/>
    <x v="0"/>
    <x v="0"/>
    <s v="Kristen"/>
    <s v="F"/>
    <x v="0"/>
    <s v="JAKARTA PUSAT"/>
    <d v="1987-11-08T00:00:00"/>
    <x v="0"/>
    <n v="0.99"/>
    <x v="0"/>
    <x v="0"/>
    <s v="SS"/>
    <n v="5000000"/>
    <n v="5000000"/>
  </r>
  <r>
    <s v="N2498"/>
    <x v="1"/>
    <x v="0"/>
    <x v="0"/>
    <x v="1"/>
    <s v="Islam"/>
    <s v="F"/>
    <x v="0"/>
    <s v="BANDUNG"/>
    <d v="1992-04-18T00:00:00"/>
    <x v="1"/>
    <n v="0.77"/>
    <x v="0"/>
    <x v="0"/>
    <s v="SS"/>
    <n v="5000000"/>
    <n v="0"/>
  </r>
  <r>
    <s v="E2513"/>
    <x v="2"/>
    <x v="0"/>
    <x v="1"/>
    <x v="2"/>
    <s v="Islam"/>
    <s v="F"/>
    <x v="0"/>
    <s v="BOGOR"/>
    <d v="1995-03-10T00:00:00"/>
    <x v="2"/>
    <n v="0.7"/>
    <x v="0"/>
    <x v="1"/>
    <s v="SP"/>
    <n v="7000000"/>
    <n v="0"/>
  </r>
  <r>
    <s v="N1674"/>
    <x v="3"/>
    <x v="0"/>
    <x v="0"/>
    <x v="3"/>
    <s v="Islam"/>
    <s v="F"/>
    <x v="0"/>
    <s v="JAKARTA"/>
    <d v="1991-11-27T00:00:00"/>
    <x v="3"/>
    <n v="0.6"/>
    <x v="1"/>
    <x v="2"/>
    <s v="ST"/>
    <n v="4000000"/>
    <n v="0"/>
  </r>
  <r>
    <s v="E2640"/>
    <x v="4"/>
    <x v="0"/>
    <x v="1"/>
    <x v="4"/>
    <s v="Kristen"/>
    <s v="M"/>
    <x v="1"/>
    <s v="LAMPUNG"/>
    <d v="1996-05-11T00:00:00"/>
    <x v="4"/>
    <n v="0.7"/>
    <x v="1"/>
    <x v="3"/>
    <s v="GM"/>
    <n v="25000000"/>
    <n v="0"/>
  </r>
  <r>
    <s v="N2016"/>
    <x v="5"/>
    <x v="0"/>
    <x v="0"/>
    <x v="5"/>
    <s v="Islam"/>
    <s v="M"/>
    <x v="1"/>
    <s v="JAKARTA"/>
    <d v="1993-12-04T00:00:00"/>
    <x v="5"/>
    <n v="0.67"/>
    <x v="1"/>
    <x v="2"/>
    <s v="ST"/>
    <n v="4000000"/>
    <n v="0"/>
  </r>
  <r>
    <s v="E2054"/>
    <x v="6"/>
    <x v="0"/>
    <x v="1"/>
    <x v="6"/>
    <s v="Islam"/>
    <s v="M"/>
    <x v="1"/>
    <s v="PURBALINGGA"/>
    <d v="1994-09-23T00:00:00"/>
    <x v="6"/>
    <n v="0.63"/>
    <x v="1"/>
    <x v="4"/>
    <s v="SM"/>
    <n v="18000000"/>
    <n v="0"/>
  </r>
  <r>
    <s v="E1881"/>
    <x v="7"/>
    <x v="0"/>
    <x v="1"/>
    <x v="7"/>
    <s v="Islam"/>
    <s v="F"/>
    <x v="0"/>
    <s v="TANGERANG"/>
    <d v="1993-12-14T00:00:00"/>
    <x v="5"/>
    <n v="0.79"/>
    <x v="1"/>
    <x v="2"/>
    <s v="ST"/>
    <n v="4000000"/>
    <n v="0"/>
  </r>
  <r>
    <s v="E2161"/>
    <x v="8"/>
    <x v="0"/>
    <x v="1"/>
    <x v="8"/>
    <s v="Islam"/>
    <s v="M"/>
    <x v="1"/>
    <s v="JAKARTA"/>
    <d v="1994-04-04T00:00:00"/>
    <x v="6"/>
    <n v="0.94"/>
    <x v="0"/>
    <x v="4"/>
    <s v="SM"/>
    <n v="18000000"/>
    <n v="36000000"/>
  </r>
  <r>
    <s v="N2031"/>
    <x v="9"/>
    <x v="0"/>
    <x v="0"/>
    <x v="9"/>
    <s v="Islam"/>
    <s v="F"/>
    <x v="0"/>
    <s v="BANDUNG"/>
    <d v="1990-11-12T00:00:00"/>
    <x v="7"/>
    <n v="0.62"/>
    <x v="2"/>
    <x v="2"/>
    <s v="ST"/>
    <n v="4000000"/>
    <n v="0"/>
  </r>
  <r>
    <s v="N1173"/>
    <x v="10"/>
    <x v="0"/>
    <x v="0"/>
    <x v="10"/>
    <s v="Islam"/>
    <s v="M"/>
    <x v="1"/>
    <s v="JAKARTA"/>
    <d v="1990-03-18T00:00:00"/>
    <x v="7"/>
    <n v="0.69"/>
    <x v="3"/>
    <x v="2"/>
    <s v="ST"/>
    <n v="4000000"/>
    <n v="0"/>
  </r>
  <r>
    <s v="E1005"/>
    <x v="11"/>
    <x v="0"/>
    <x v="1"/>
    <x v="11"/>
    <s v="Islam"/>
    <s v="M"/>
    <x v="1"/>
    <s v="TASIKMALAYA"/>
    <d v="1979-03-02T00:00:00"/>
    <x v="8"/>
    <n v="0.84"/>
    <x v="4"/>
    <x v="0"/>
    <s v="SS"/>
    <n v="5000000"/>
    <n v="0"/>
  </r>
  <r>
    <s v="E1063"/>
    <x v="12"/>
    <x v="0"/>
    <x v="1"/>
    <x v="12"/>
    <s v="Islam"/>
    <s v="M"/>
    <x v="1"/>
    <s v="JAKARTA"/>
    <d v="1985-09-01T00:00:00"/>
    <x v="9"/>
    <n v="0.7"/>
    <x v="1"/>
    <x v="1"/>
    <s v="SP"/>
    <n v="7000000"/>
    <n v="0"/>
  </r>
  <r>
    <s v="E1974"/>
    <x v="13"/>
    <x v="1"/>
    <x v="1"/>
    <x v="13"/>
    <s v="Islam"/>
    <s v="M"/>
    <x v="1"/>
    <s v="JAKARTA"/>
    <d v="1989-02-04T00:00:00"/>
    <x v="10"/>
    <n v="0.84"/>
    <x v="1"/>
    <x v="0"/>
    <s v="SS"/>
    <n v="5000000"/>
    <n v="0"/>
  </r>
  <r>
    <s v="E0828"/>
    <x v="14"/>
    <x v="0"/>
    <x v="1"/>
    <x v="14"/>
    <s v="Islam"/>
    <s v="M"/>
    <x v="1"/>
    <s v="BATANG"/>
    <d v="1975-03-10T00:00:00"/>
    <x v="11"/>
    <n v="0.89"/>
    <x v="2"/>
    <x v="3"/>
    <s v="GM"/>
    <n v="25000000"/>
    <n v="0"/>
  </r>
  <r>
    <s v="E1054"/>
    <x v="15"/>
    <x v="0"/>
    <x v="1"/>
    <x v="15"/>
    <s v="Islam"/>
    <s v="M"/>
    <x v="1"/>
    <s v="TANGERANG"/>
    <d v="1984-12-26T00:00:00"/>
    <x v="12"/>
    <n v="1"/>
    <x v="1"/>
    <x v="4"/>
    <s v="SM"/>
    <n v="18000000"/>
    <n v="36000000"/>
  </r>
  <r>
    <s v="E1703"/>
    <x v="16"/>
    <x v="0"/>
    <x v="1"/>
    <x v="16"/>
    <s v="Islam"/>
    <s v="F"/>
    <x v="0"/>
    <s v="KARANGANYAR"/>
    <d v="1984-07-23T00:00:00"/>
    <x v="12"/>
    <n v="0.85"/>
    <x v="2"/>
    <x v="3"/>
    <s v="GM"/>
    <n v="25000000"/>
    <n v="0"/>
  </r>
  <r>
    <s v="E2840"/>
    <x v="17"/>
    <x v="0"/>
    <x v="1"/>
    <x v="17"/>
    <s v="Kristen"/>
    <s v="M"/>
    <x v="1"/>
    <s v="TOMOHON"/>
    <d v="1986-06-04T00:00:00"/>
    <x v="13"/>
    <n v="0.68"/>
    <x v="0"/>
    <x v="4"/>
    <s v="SM"/>
    <n v="18000000"/>
    <n v="0"/>
  </r>
  <r>
    <s v="E1861"/>
    <x v="18"/>
    <x v="0"/>
    <x v="1"/>
    <x v="18"/>
    <s v="Islam"/>
    <s v="F"/>
    <x v="0"/>
    <s v="JAKARTA"/>
    <d v="1994-03-01T00:00:00"/>
    <x v="6"/>
    <n v="0.64"/>
    <x v="4"/>
    <x v="5"/>
    <s v="JM"/>
    <n v="12000000"/>
    <n v="0"/>
  </r>
  <r>
    <s v="N1860"/>
    <x v="19"/>
    <x v="0"/>
    <x v="0"/>
    <x v="18"/>
    <s v="Islam"/>
    <s v="M"/>
    <x v="1"/>
    <s v="JAKARTA"/>
    <d v="1994-03-01T00:00:00"/>
    <x v="6"/>
    <n v="0.81"/>
    <x v="1"/>
    <x v="1"/>
    <s v="SP"/>
    <n v="7000000"/>
    <n v="0"/>
  </r>
  <r>
    <s v="N0951"/>
    <x v="20"/>
    <x v="0"/>
    <x v="0"/>
    <x v="19"/>
    <s v="Islam"/>
    <s v="M"/>
    <x v="1"/>
    <s v="BLITAR"/>
    <d v="1983-02-17T00:00:00"/>
    <x v="14"/>
    <n v="0.73"/>
    <x v="2"/>
    <x v="1"/>
    <s v="SP"/>
    <n v="7000000"/>
    <n v="0"/>
  </r>
  <r>
    <s v="E2575"/>
    <x v="21"/>
    <x v="0"/>
    <x v="1"/>
    <x v="20"/>
    <s v="Islam"/>
    <s v="F"/>
    <x v="0"/>
    <s v="PALEMBANG"/>
    <d v="1996-10-17T00:00:00"/>
    <x v="4"/>
    <n v="0.93"/>
    <x v="0"/>
    <x v="0"/>
    <s v="SS"/>
    <n v="5000000"/>
    <n v="5000000"/>
  </r>
  <r>
    <s v="N2619"/>
    <x v="22"/>
    <x v="0"/>
    <x v="0"/>
    <x v="21"/>
    <s v="Kristen"/>
    <s v="M"/>
    <x v="1"/>
    <s v="JAKARTA"/>
    <d v="1985-01-19T00:00:00"/>
    <x v="9"/>
    <n v="0.71"/>
    <x v="0"/>
    <x v="3"/>
    <s v="GM"/>
    <n v="25000000"/>
    <n v="0"/>
  </r>
  <r>
    <s v="E2321"/>
    <x v="23"/>
    <x v="1"/>
    <x v="1"/>
    <x v="22"/>
    <s v="Islam"/>
    <s v="M"/>
    <x v="1"/>
    <s v="JAKARTA"/>
    <d v="1987-03-13T00:00:00"/>
    <x v="0"/>
    <n v="0.86"/>
    <x v="2"/>
    <x v="3"/>
    <s v="GM"/>
    <n v="25000000"/>
    <n v="0"/>
  </r>
  <r>
    <s v="E2620"/>
    <x v="24"/>
    <x v="0"/>
    <x v="1"/>
    <x v="23"/>
    <s v="Islam"/>
    <s v="M"/>
    <x v="1"/>
    <s v="KUNINGAN"/>
    <d v="1996-01-16T00:00:00"/>
    <x v="4"/>
    <n v="0.89"/>
    <x v="2"/>
    <x v="0"/>
    <s v="SS"/>
    <n v="5000000"/>
    <n v="0"/>
  </r>
  <r>
    <s v="E1690"/>
    <x v="25"/>
    <x v="0"/>
    <x v="1"/>
    <x v="24"/>
    <s v="Islam"/>
    <s v="F"/>
    <x v="0"/>
    <s v="JAKARTA"/>
    <d v="1993-03-24T00:00:00"/>
    <x v="5"/>
    <n v="0.98"/>
    <x v="2"/>
    <x v="1"/>
    <s v="SP"/>
    <n v="7000000"/>
    <n v="7000000"/>
  </r>
  <r>
    <s v="E1064"/>
    <x v="26"/>
    <x v="0"/>
    <x v="1"/>
    <x v="12"/>
    <s v="Islam"/>
    <s v="M"/>
    <x v="1"/>
    <s v="INDRAMAYU"/>
    <d v="1984-12-03T00:00:00"/>
    <x v="12"/>
    <n v="0.97"/>
    <x v="4"/>
    <x v="4"/>
    <s v="SM"/>
    <n v="18000000"/>
    <n v="36000000"/>
  </r>
  <r>
    <s v="E1065"/>
    <x v="27"/>
    <x v="0"/>
    <x v="1"/>
    <x v="12"/>
    <s v="Islam"/>
    <s v="F"/>
    <x v="0"/>
    <s v="MEDAN"/>
    <d v="1979-06-02T00:00:00"/>
    <x v="8"/>
    <n v="0.87"/>
    <x v="0"/>
    <x v="1"/>
    <s v="SP"/>
    <n v="7000000"/>
    <n v="0"/>
  </r>
  <r>
    <s v="E1841"/>
    <x v="28"/>
    <x v="0"/>
    <x v="1"/>
    <x v="25"/>
    <s v="Islam"/>
    <s v="M"/>
    <x v="1"/>
    <s v="JAKARTA"/>
    <d v="1986-11-12T00:00:00"/>
    <x v="13"/>
    <n v="0.96"/>
    <x v="2"/>
    <x v="0"/>
    <s v="SS"/>
    <n v="5000000"/>
    <n v="5000000"/>
  </r>
  <r>
    <s v="E2867"/>
    <x v="29"/>
    <x v="0"/>
    <x v="1"/>
    <x v="26"/>
    <s v="Islam"/>
    <s v="F"/>
    <x v="0"/>
    <s v="TASIKMALAYA"/>
    <d v="1996-08-24T00:00:00"/>
    <x v="4"/>
    <n v="0.85"/>
    <x v="1"/>
    <x v="0"/>
    <s v="SS"/>
    <n v="5000000"/>
    <n v="0"/>
  </r>
  <r>
    <s v="N1720"/>
    <x v="30"/>
    <x v="0"/>
    <x v="0"/>
    <x v="27"/>
    <s v="Islam"/>
    <s v="M"/>
    <x v="1"/>
    <s v="TRENGGALEK"/>
    <d v="1988-08-15T00:00:00"/>
    <x v="15"/>
    <n v="0.74"/>
    <x v="4"/>
    <x v="3"/>
    <s v="GM"/>
    <n v="25000000"/>
    <n v="0"/>
  </r>
  <r>
    <s v="E1880"/>
    <x v="31"/>
    <x v="0"/>
    <x v="1"/>
    <x v="28"/>
    <s v="Islam"/>
    <s v="F"/>
    <x v="0"/>
    <s v="BANDUNG"/>
    <d v="1989-02-05T00:00:00"/>
    <x v="10"/>
    <n v="0.77"/>
    <x v="1"/>
    <x v="4"/>
    <s v="SM"/>
    <n v="18000000"/>
    <n v="0"/>
  </r>
  <r>
    <s v="E1929"/>
    <x v="32"/>
    <x v="0"/>
    <x v="1"/>
    <x v="29"/>
    <s v="Islam"/>
    <s v="M"/>
    <x v="1"/>
    <s v="GROBOGAN"/>
    <d v="1995-02-10T00:00:00"/>
    <x v="2"/>
    <n v="0.62"/>
    <x v="0"/>
    <x v="2"/>
    <s v="ST"/>
    <n v="4000000"/>
    <n v="0"/>
  </r>
  <r>
    <s v="E0911"/>
    <x v="33"/>
    <x v="2"/>
    <x v="1"/>
    <x v="30"/>
    <s v="Islam"/>
    <s v="M"/>
    <x v="1"/>
    <s v="SIDOARJO"/>
    <d v="1980-09-05T00:00:00"/>
    <x v="16"/>
    <n v="0.91"/>
    <x v="2"/>
    <x v="1"/>
    <s v="SP"/>
    <n v="7000000"/>
    <n v="7000000"/>
  </r>
  <r>
    <s v="E2170"/>
    <x v="34"/>
    <x v="0"/>
    <x v="1"/>
    <x v="31"/>
    <s v="Islam"/>
    <s v="M"/>
    <x v="1"/>
    <s v="JAKARTA"/>
    <d v="1996-03-30T00:00:00"/>
    <x v="4"/>
    <n v="0.61"/>
    <x v="2"/>
    <x v="1"/>
    <s v="SP"/>
    <n v="7000000"/>
    <n v="0"/>
  </r>
  <r>
    <s v="E1111"/>
    <x v="35"/>
    <x v="0"/>
    <x v="1"/>
    <x v="32"/>
    <s v="Islam"/>
    <s v="F"/>
    <x v="0"/>
    <s v="BANDUNG"/>
    <d v="1985-10-14T00:00:00"/>
    <x v="9"/>
    <n v="0.84"/>
    <x v="2"/>
    <x v="5"/>
    <s v="JM"/>
    <n v="12000000"/>
    <n v="0"/>
  </r>
  <r>
    <s v="E1081"/>
    <x v="36"/>
    <x v="0"/>
    <x v="1"/>
    <x v="33"/>
    <s v="Islam"/>
    <s v="F"/>
    <x v="0"/>
    <s v="TAMAN SARI"/>
    <d v="1989-04-20T00:00:00"/>
    <x v="10"/>
    <n v="0.76"/>
    <x v="0"/>
    <x v="1"/>
    <s v="SP"/>
    <n v="7000000"/>
    <n v="0"/>
  </r>
  <r>
    <s v="E2134"/>
    <x v="37"/>
    <x v="0"/>
    <x v="1"/>
    <x v="34"/>
    <s v="Islam"/>
    <s v="M"/>
    <x v="1"/>
    <s v="PADANG"/>
    <d v="1990-07-07T00:00:00"/>
    <x v="7"/>
    <n v="0.89"/>
    <x v="2"/>
    <x v="2"/>
    <s v="ST"/>
    <n v="4000000"/>
    <n v="0"/>
  </r>
  <r>
    <s v="N2584"/>
    <x v="38"/>
    <x v="3"/>
    <x v="0"/>
    <x v="35"/>
    <s v="Islam"/>
    <s v="M"/>
    <x v="1"/>
    <s v="MALANG"/>
    <d v="1991-07-07T00:00:00"/>
    <x v="3"/>
    <n v="0.73"/>
    <x v="4"/>
    <x v="1"/>
    <s v="SP"/>
    <n v="7000000"/>
    <n v="0"/>
  </r>
  <r>
    <s v="N2583"/>
    <x v="39"/>
    <x v="3"/>
    <x v="0"/>
    <x v="35"/>
    <s v="Islam"/>
    <s v="F"/>
    <x v="0"/>
    <s v="MALANG"/>
    <d v="1991-07-07T00:00:00"/>
    <x v="3"/>
    <n v="0.8"/>
    <x v="0"/>
    <x v="1"/>
    <s v="SP"/>
    <n v="7000000"/>
    <n v="0"/>
  </r>
  <r>
    <s v="N1453"/>
    <x v="40"/>
    <x v="0"/>
    <x v="0"/>
    <x v="36"/>
    <s v="Islam"/>
    <s v="M"/>
    <x v="1"/>
    <s v="BANYUWANGI"/>
    <d v="1980-02-25T00:00:00"/>
    <x v="16"/>
    <n v="0.73"/>
    <x v="4"/>
    <x v="6"/>
    <s v="CE"/>
    <n v="40000000"/>
    <n v="0"/>
  </r>
  <r>
    <s v="E1491"/>
    <x v="41"/>
    <x v="0"/>
    <x v="1"/>
    <x v="37"/>
    <s v="Islam"/>
    <s v="M"/>
    <x v="1"/>
    <s v="JAKARTA"/>
    <d v="1989-03-16T00:00:00"/>
    <x v="10"/>
    <n v="0.84"/>
    <x v="0"/>
    <x v="2"/>
    <s v="ST"/>
    <n v="4000000"/>
    <n v="0"/>
  </r>
  <r>
    <s v="E1490"/>
    <x v="42"/>
    <x v="0"/>
    <x v="1"/>
    <x v="37"/>
    <s v="Islam"/>
    <s v="F"/>
    <x v="0"/>
    <s v="JAKARTA"/>
    <d v="1989-03-16T00:00:00"/>
    <x v="10"/>
    <n v="1"/>
    <x v="1"/>
    <x v="0"/>
    <s v="SS"/>
    <n v="5000000"/>
    <n v="5000000"/>
  </r>
  <r>
    <s v="E2201"/>
    <x v="43"/>
    <x v="0"/>
    <x v="1"/>
    <x v="38"/>
    <s v="Islam"/>
    <s v="F"/>
    <x v="0"/>
    <s v="BANDUNG"/>
    <d v="1992-08-21T00:00:00"/>
    <x v="1"/>
    <n v="0.86"/>
    <x v="2"/>
    <x v="0"/>
    <s v="SS"/>
    <n v="5000000"/>
    <n v="0"/>
  </r>
  <r>
    <s v="N1134"/>
    <x v="44"/>
    <x v="4"/>
    <x v="0"/>
    <x v="39"/>
    <s v="Islam"/>
    <s v="M"/>
    <x v="1"/>
    <s v="JEMBER"/>
    <d v="1986-04-10T00:00:00"/>
    <x v="13"/>
    <n v="0.76"/>
    <x v="0"/>
    <x v="1"/>
    <s v="SP"/>
    <n v="7000000"/>
    <n v="0"/>
  </r>
  <r>
    <s v="N1068"/>
    <x v="45"/>
    <x v="0"/>
    <x v="0"/>
    <x v="40"/>
    <s v="Islam"/>
    <s v="F"/>
    <x v="0"/>
    <s v="SRAGEN"/>
    <d v="1987-03-13T00:00:00"/>
    <x v="0"/>
    <n v="0.95"/>
    <x v="4"/>
    <x v="1"/>
    <s v="SP"/>
    <n v="7000000"/>
    <n v="7000000"/>
  </r>
  <r>
    <s v="E0896"/>
    <x v="46"/>
    <x v="0"/>
    <x v="1"/>
    <x v="41"/>
    <s v="Islam"/>
    <s v="M"/>
    <x v="1"/>
    <s v="JAKARTA"/>
    <d v="1975-08-09T00:00:00"/>
    <x v="11"/>
    <n v="0.73"/>
    <x v="1"/>
    <x v="0"/>
    <s v="SS"/>
    <n v="5000000"/>
    <n v="0"/>
  </r>
  <r>
    <s v="E0931"/>
    <x v="47"/>
    <x v="0"/>
    <x v="1"/>
    <x v="42"/>
    <s v="Islam"/>
    <s v="M"/>
    <x v="1"/>
    <s v="JAKARTA"/>
    <d v="1979-02-16T00:00:00"/>
    <x v="8"/>
    <n v="0.87"/>
    <x v="1"/>
    <x v="2"/>
    <s v="ST"/>
    <n v="4000000"/>
    <n v="0"/>
  </r>
  <r>
    <s v="E0813"/>
    <x v="48"/>
    <x v="0"/>
    <x v="1"/>
    <x v="43"/>
    <s v="Islam"/>
    <s v="F"/>
    <x v="0"/>
    <s v="JAKARTA"/>
    <d v="1971-11-01T00:00:00"/>
    <x v="17"/>
    <n v="0.71"/>
    <x v="2"/>
    <x v="0"/>
    <s v="SS"/>
    <n v="5000000"/>
    <n v="0"/>
  </r>
  <r>
    <s v="E3144"/>
    <x v="49"/>
    <x v="0"/>
    <x v="1"/>
    <x v="44"/>
    <s v="Islam"/>
    <s v="M"/>
    <x v="1"/>
    <s v="JAKARTA"/>
    <d v="1995-02-15T00:00:00"/>
    <x v="2"/>
    <n v="0.66"/>
    <x v="1"/>
    <x v="1"/>
    <s v="SP"/>
    <n v="7000000"/>
    <n v="0"/>
  </r>
  <r>
    <s v="E3143"/>
    <x v="50"/>
    <x v="0"/>
    <x v="1"/>
    <x v="44"/>
    <s v="Islam"/>
    <s v="M"/>
    <x v="1"/>
    <s v="JAKARTA"/>
    <d v="1995-02-15T00:00:00"/>
    <x v="2"/>
    <n v="0.88"/>
    <x v="1"/>
    <x v="2"/>
    <s v="ST"/>
    <n v="4000000"/>
    <n v="0"/>
  </r>
  <r>
    <s v="N2114"/>
    <x v="51"/>
    <x v="0"/>
    <x v="0"/>
    <x v="45"/>
    <s v="Islam"/>
    <s v="M"/>
    <x v="1"/>
    <s v="CILACAP"/>
    <d v="1993-08-28T00:00:00"/>
    <x v="5"/>
    <n v="0.91"/>
    <x v="0"/>
    <x v="0"/>
    <s v="SS"/>
    <n v="5000000"/>
    <n v="5000000"/>
  </r>
  <r>
    <s v="E1885"/>
    <x v="52"/>
    <x v="1"/>
    <x v="1"/>
    <x v="46"/>
    <s v="Islam"/>
    <s v="M"/>
    <x v="1"/>
    <s v="SUMATRA UTARA"/>
    <d v="1992-07-05T00:00:00"/>
    <x v="1"/>
    <n v="0.79"/>
    <x v="2"/>
    <x v="5"/>
    <s v="JM"/>
    <n v="12000000"/>
    <n v="0"/>
  </r>
  <r>
    <s v="E2898"/>
    <x v="53"/>
    <x v="0"/>
    <x v="1"/>
    <x v="47"/>
    <s v="Islam"/>
    <s v="M"/>
    <x v="1"/>
    <s v="JAKARTA"/>
    <d v="1996-10-13T00:00:00"/>
    <x v="4"/>
    <n v="0.76"/>
    <x v="2"/>
    <x v="2"/>
    <s v="ST"/>
    <n v="4000000"/>
    <n v="0"/>
  </r>
  <r>
    <s v="N1565"/>
    <x v="54"/>
    <x v="0"/>
    <x v="0"/>
    <x v="48"/>
    <s v="Islam"/>
    <s v="M"/>
    <x v="1"/>
    <s v="JAKARTA"/>
    <d v="1978-10-31T00:00:00"/>
    <x v="18"/>
    <n v="0.71"/>
    <x v="1"/>
    <x v="3"/>
    <s v="GM"/>
    <n v="25000000"/>
    <n v="0"/>
  </r>
  <r>
    <s v="N2378"/>
    <x v="55"/>
    <x v="0"/>
    <x v="0"/>
    <x v="49"/>
    <s v="Islam"/>
    <s v="M"/>
    <x v="1"/>
    <s v="JOMBANG"/>
    <d v="1996-08-03T00:00:00"/>
    <x v="4"/>
    <n v="0.75"/>
    <x v="4"/>
    <x v="3"/>
    <s v="GM"/>
    <n v="25000000"/>
    <n v="0"/>
  </r>
  <r>
    <s v="N1191"/>
    <x v="56"/>
    <x v="0"/>
    <x v="0"/>
    <x v="50"/>
    <s v="Islam"/>
    <s v="M"/>
    <x v="1"/>
    <s v="BOGOR"/>
    <d v="1985-11-26T00:00:00"/>
    <x v="9"/>
    <n v="0.81"/>
    <x v="2"/>
    <x v="3"/>
    <s v="GM"/>
    <n v="25000000"/>
    <n v="0"/>
  </r>
  <r>
    <s v="E1601"/>
    <x v="57"/>
    <x v="0"/>
    <x v="1"/>
    <x v="51"/>
    <s v="Islam"/>
    <s v="M"/>
    <x v="1"/>
    <s v="GRESIK"/>
    <d v="1988-03-26T00:00:00"/>
    <x v="15"/>
    <n v="1"/>
    <x v="1"/>
    <x v="0"/>
    <s v="SS"/>
    <n v="5000000"/>
    <n v="5000000"/>
  </r>
  <r>
    <s v="E3140"/>
    <x v="58"/>
    <x v="0"/>
    <x v="1"/>
    <x v="44"/>
    <s v="Islam"/>
    <s v="M"/>
    <x v="1"/>
    <s v="JAKARTA"/>
    <d v="1994-12-19T00:00:00"/>
    <x v="6"/>
    <n v="0.91"/>
    <x v="0"/>
    <x v="1"/>
    <s v="SP"/>
    <n v="7000000"/>
    <n v="7000000"/>
  </r>
  <r>
    <s v="E3142"/>
    <x v="47"/>
    <x v="0"/>
    <x v="1"/>
    <x v="44"/>
    <s v="Islam"/>
    <s v="F"/>
    <x v="0"/>
    <s v="JAKARTA"/>
    <d v="1994-12-19T00:00:00"/>
    <x v="6"/>
    <n v="0.62"/>
    <x v="0"/>
    <x v="0"/>
    <s v="SS"/>
    <n v="5000000"/>
    <n v="0"/>
  </r>
  <r>
    <s v="E1604"/>
    <x v="59"/>
    <x v="0"/>
    <x v="1"/>
    <x v="52"/>
    <s v="Islam"/>
    <s v="F"/>
    <x v="0"/>
    <s v="TUAL"/>
    <d v="1988-02-18T00:00:00"/>
    <x v="15"/>
    <n v="0.72"/>
    <x v="0"/>
    <x v="0"/>
    <s v="SS"/>
    <n v="5000000"/>
    <n v="0"/>
  </r>
  <r>
    <s v="E0892"/>
    <x v="60"/>
    <x v="0"/>
    <x v="1"/>
    <x v="53"/>
    <s v="Islam"/>
    <s v="M"/>
    <x v="1"/>
    <s v="JAKARTA"/>
    <d v="1976-11-03T00:00:00"/>
    <x v="19"/>
    <n v="0.77"/>
    <x v="1"/>
    <x v="2"/>
    <s v="ST"/>
    <n v="4000000"/>
    <n v="0"/>
  </r>
  <r>
    <s v="E1109"/>
    <x v="61"/>
    <x v="0"/>
    <x v="1"/>
    <x v="54"/>
    <s v="Islam"/>
    <s v="M"/>
    <x v="1"/>
    <s v="KARANGANYAR"/>
    <d v="1990-04-21T00:00:00"/>
    <x v="7"/>
    <n v="0.65"/>
    <x v="0"/>
    <x v="0"/>
    <s v="SS"/>
    <n v="5000000"/>
    <n v="0"/>
  </r>
  <r>
    <s v="E2885"/>
    <x v="39"/>
    <x v="0"/>
    <x v="1"/>
    <x v="55"/>
    <s v="Islam"/>
    <s v="M"/>
    <x v="1"/>
    <s v="INDRAMAYU"/>
    <d v="1986-07-10T00:00:00"/>
    <x v="13"/>
    <n v="0.78"/>
    <x v="0"/>
    <x v="5"/>
    <s v="JM"/>
    <n v="12000000"/>
    <n v="0"/>
  </r>
  <r>
    <s v="E1456"/>
    <x v="62"/>
    <x v="0"/>
    <x v="1"/>
    <x v="36"/>
    <s v="Islam"/>
    <s v="M"/>
    <x v="1"/>
    <s v="TANGERANG"/>
    <d v="1971-10-30T00:00:00"/>
    <x v="17"/>
    <n v="0.71"/>
    <x v="1"/>
    <x v="0"/>
    <s v="SS"/>
    <n v="5000000"/>
    <n v="0"/>
  </r>
  <r>
    <s v="E1393"/>
    <x v="63"/>
    <x v="0"/>
    <x v="1"/>
    <x v="36"/>
    <s v="Islam"/>
    <s v="F"/>
    <x v="0"/>
    <s v="TULUNGAGUNG"/>
    <d v="1986-01-08T00:00:00"/>
    <x v="13"/>
    <n v="0.63"/>
    <x v="2"/>
    <x v="0"/>
    <s v="SS"/>
    <n v="5000000"/>
    <n v="0"/>
  </r>
  <r>
    <s v="E2322"/>
    <x v="64"/>
    <x v="0"/>
    <x v="1"/>
    <x v="22"/>
    <s v="Islam"/>
    <s v="M"/>
    <x v="1"/>
    <s v="JAKARTA"/>
    <d v="1993-01-16T00:00:00"/>
    <x v="5"/>
    <n v="0.72"/>
    <x v="4"/>
    <x v="0"/>
    <s v="SS"/>
    <n v="5000000"/>
    <n v="0"/>
  </r>
  <r>
    <s v="E0806"/>
    <x v="65"/>
    <x v="0"/>
    <x v="1"/>
    <x v="56"/>
    <s v="Islam"/>
    <s v="F"/>
    <x v="0"/>
    <s v="BANDUNG"/>
    <d v="1970-05-29T00:00:00"/>
    <x v="20"/>
    <n v="0.91"/>
    <x v="0"/>
    <x v="1"/>
    <s v="SP"/>
    <n v="7000000"/>
    <n v="7000000"/>
  </r>
  <r>
    <s v="E1866"/>
    <x v="66"/>
    <x v="0"/>
    <x v="1"/>
    <x v="57"/>
    <s v="Islam"/>
    <s v="M"/>
    <x v="1"/>
    <s v="JAKARTA"/>
    <d v="1993-12-11T00:00:00"/>
    <x v="5"/>
    <n v="0.66"/>
    <x v="2"/>
    <x v="2"/>
    <s v="ST"/>
    <n v="4000000"/>
    <n v="0"/>
  </r>
  <r>
    <s v="E2600"/>
    <x v="67"/>
    <x v="0"/>
    <x v="1"/>
    <x v="58"/>
    <s v="Islam"/>
    <s v="F"/>
    <x v="0"/>
    <s v="DI YOGYAKARTA"/>
    <d v="1995-07-16T00:00:00"/>
    <x v="2"/>
    <n v="0.88"/>
    <x v="1"/>
    <x v="2"/>
    <s v="ST"/>
    <n v="4000000"/>
    <n v="0"/>
  </r>
  <r>
    <s v="E0956"/>
    <x v="68"/>
    <x v="0"/>
    <x v="1"/>
    <x v="59"/>
    <s v="Islam"/>
    <s v="M"/>
    <x v="1"/>
    <s v="BANDUNG"/>
    <d v="1979-09-03T00:00:00"/>
    <x v="8"/>
    <n v="0.96"/>
    <x v="4"/>
    <x v="1"/>
    <s v="SP"/>
    <n v="7000000"/>
    <n v="7000000"/>
  </r>
  <r>
    <s v="N2070"/>
    <x v="69"/>
    <x v="0"/>
    <x v="0"/>
    <x v="60"/>
    <s v="Islam"/>
    <s v="M"/>
    <x v="1"/>
    <s v="PURWOKERTO"/>
    <d v="1994-03-18T00:00:00"/>
    <x v="6"/>
    <n v="0.82"/>
    <x v="5"/>
    <x v="2"/>
    <s v="ST"/>
    <n v="4000000"/>
    <n v="0"/>
  </r>
  <r>
    <s v="N2777"/>
    <x v="70"/>
    <x v="0"/>
    <x v="0"/>
    <x v="61"/>
    <s v="Islam"/>
    <s v="F"/>
    <x v="0"/>
    <s v="BOGOR"/>
    <d v="1997-08-29T00:00:00"/>
    <x v="21"/>
    <n v="0.68"/>
    <x v="2"/>
    <x v="2"/>
    <s v="ST"/>
    <n v="4000000"/>
    <n v="0"/>
  </r>
  <r>
    <s v="E1718"/>
    <x v="71"/>
    <x v="0"/>
    <x v="1"/>
    <x v="27"/>
    <s v="Islam"/>
    <s v="M"/>
    <x v="1"/>
    <s v="JAKARTA"/>
    <d v="1993-10-07T00:00:00"/>
    <x v="5"/>
    <n v="0.83"/>
    <x v="5"/>
    <x v="2"/>
    <s v="ST"/>
    <n v="4000000"/>
    <n v="0"/>
  </r>
  <r>
    <s v="E1719"/>
    <x v="72"/>
    <x v="0"/>
    <x v="1"/>
    <x v="27"/>
    <s v="Islam"/>
    <s v="F"/>
    <x v="0"/>
    <s v="JAKARTA"/>
    <d v="1993-10-07T00:00:00"/>
    <x v="5"/>
    <n v="0.66"/>
    <x v="1"/>
    <x v="0"/>
    <s v="SS"/>
    <n v="5000000"/>
    <n v="0"/>
  </r>
  <r>
    <s v="E1994"/>
    <x v="73"/>
    <x v="0"/>
    <x v="1"/>
    <x v="62"/>
    <s v="Islam"/>
    <s v="M"/>
    <x v="1"/>
    <s v="SEMARANG"/>
    <d v="1992-11-05T00:00:00"/>
    <x v="1"/>
    <n v="0.65"/>
    <x v="5"/>
    <x v="0"/>
    <s v="SS"/>
    <n v="5000000"/>
    <n v="0"/>
  </r>
  <r>
    <s v="N0795"/>
    <x v="74"/>
    <x v="0"/>
    <x v="0"/>
    <x v="63"/>
    <s v="Islam"/>
    <s v="M"/>
    <x v="1"/>
    <s v="TANJUNG KARANG"/>
    <d v="1977-03-06T00:00:00"/>
    <x v="22"/>
    <n v="0.63"/>
    <x v="1"/>
    <x v="2"/>
    <s v="ST"/>
    <n v="4000000"/>
    <n v="0"/>
  </r>
  <r>
    <s v="N1708"/>
    <x v="75"/>
    <x v="0"/>
    <x v="0"/>
    <x v="64"/>
    <s v="Islam"/>
    <s v="F"/>
    <x v="0"/>
    <s v="JAKARTA"/>
    <d v="1987-12-01T00:00:00"/>
    <x v="0"/>
    <n v="0.8"/>
    <x v="1"/>
    <x v="2"/>
    <s v="ST"/>
    <n v="4000000"/>
    <n v="0"/>
  </r>
  <r>
    <s v="E2071"/>
    <x v="76"/>
    <x v="0"/>
    <x v="1"/>
    <x v="65"/>
    <s v="Islam"/>
    <s v="F"/>
    <x v="0"/>
    <s v="JAKARTA"/>
    <d v="1994-02-05T00:00:00"/>
    <x v="6"/>
    <n v="0.81"/>
    <x v="0"/>
    <x v="0"/>
    <s v="SS"/>
    <n v="5000000"/>
    <n v="0"/>
  </r>
  <r>
    <s v="E1049"/>
    <x v="77"/>
    <x v="0"/>
    <x v="1"/>
    <x v="66"/>
    <s v="Islam"/>
    <s v="F"/>
    <x v="0"/>
    <s v="JAKARTA"/>
    <d v="1985-08-28T00:00:00"/>
    <x v="9"/>
    <n v="0.74"/>
    <x v="6"/>
    <x v="0"/>
    <s v="SS"/>
    <n v="5000000"/>
    <n v="0"/>
  </r>
  <r>
    <s v="E1227"/>
    <x v="78"/>
    <x v="0"/>
    <x v="1"/>
    <x v="67"/>
    <s v="Islam"/>
    <s v="F"/>
    <x v="0"/>
    <s v="JAKARTA"/>
    <d v="1989-10-28T00:00:00"/>
    <x v="10"/>
    <n v="1"/>
    <x v="4"/>
    <x v="2"/>
    <s v="ST"/>
    <n v="4000000"/>
    <n v="4000000"/>
  </r>
  <r>
    <s v="E1138"/>
    <x v="79"/>
    <x v="0"/>
    <x v="1"/>
    <x v="68"/>
    <s v="Islam"/>
    <s v="F"/>
    <x v="0"/>
    <s v="BANDUNG"/>
    <d v="1985-08-20T00:00:00"/>
    <x v="9"/>
    <n v="0.6"/>
    <x v="7"/>
    <x v="1"/>
    <s v="SP"/>
    <n v="7000000"/>
    <n v="0"/>
  </r>
  <r>
    <s v="E0991"/>
    <x v="80"/>
    <x v="0"/>
    <x v="1"/>
    <x v="69"/>
    <s v="Islam"/>
    <s v="F"/>
    <x v="0"/>
    <s v="SITUBONDO"/>
    <d v="1983-07-15T00:00:00"/>
    <x v="14"/>
    <n v="0.67"/>
    <x v="8"/>
    <x v="1"/>
    <s v="SP"/>
    <n v="7000000"/>
    <n v="0"/>
  </r>
  <r>
    <s v="E2585"/>
    <x v="81"/>
    <x v="0"/>
    <x v="1"/>
    <x v="35"/>
    <s v="Islam"/>
    <s v="F"/>
    <x v="0"/>
    <s v="SALATIGA"/>
    <d v="1990-10-22T00:00:00"/>
    <x v="7"/>
    <n v="0.83"/>
    <x v="3"/>
    <x v="0"/>
    <s v="SS"/>
    <n v="5000000"/>
    <n v="0"/>
  </r>
  <r>
    <s v="N2803"/>
    <x v="82"/>
    <x v="0"/>
    <x v="0"/>
    <x v="70"/>
    <s v="Islam"/>
    <s v="F"/>
    <x v="0"/>
    <s v="CILACAP"/>
    <d v="1998-09-20T00:00:00"/>
    <x v="23"/>
    <n v="0.61"/>
    <x v="9"/>
    <x v="0"/>
    <s v="SS"/>
    <n v="5000000"/>
    <n v="0"/>
  </r>
  <r>
    <s v="E0948"/>
    <x v="83"/>
    <x v="0"/>
    <x v="1"/>
    <x v="71"/>
    <s v="Islam"/>
    <s v="F"/>
    <x v="0"/>
    <s v="JAKARTA"/>
    <d v="1978-07-20T00:00:00"/>
    <x v="18"/>
    <n v="0.64"/>
    <x v="6"/>
    <x v="1"/>
    <s v="SP"/>
    <n v="7000000"/>
    <n v="0"/>
  </r>
  <r>
    <s v="E1863"/>
    <x v="84"/>
    <x v="0"/>
    <x v="1"/>
    <x v="72"/>
    <s v="Islam"/>
    <s v="F"/>
    <x v="0"/>
    <s v="JAKARTA"/>
    <d v="1986-05-30T00:00:00"/>
    <x v="13"/>
    <n v="0.87"/>
    <x v="3"/>
    <x v="0"/>
    <s v="SS"/>
    <n v="5000000"/>
    <n v="0"/>
  </r>
  <r>
    <s v="E2819"/>
    <x v="85"/>
    <x v="0"/>
    <x v="1"/>
    <x v="73"/>
    <s v="Islam"/>
    <s v="F"/>
    <x v="0"/>
    <s v="TULUNGAGUNG"/>
    <d v="1989-10-07T00:00:00"/>
    <x v="10"/>
    <n v="1"/>
    <x v="4"/>
    <x v="0"/>
    <s v="SS"/>
    <n v="5000000"/>
    <n v="5000000"/>
  </r>
  <r>
    <s v="N2549"/>
    <x v="86"/>
    <x v="0"/>
    <x v="0"/>
    <x v="74"/>
    <s v="Islam"/>
    <s v="F"/>
    <x v="0"/>
    <s v="JAKARTA"/>
    <d v="1994-10-20T00:00:00"/>
    <x v="6"/>
    <n v="0.89"/>
    <x v="3"/>
    <x v="2"/>
    <s v="ST"/>
    <n v="4000000"/>
    <n v="0"/>
  </r>
  <r>
    <s v="N1991"/>
    <x v="87"/>
    <x v="0"/>
    <x v="0"/>
    <x v="75"/>
    <s v="Islam"/>
    <s v="F"/>
    <x v="0"/>
    <s v="JAKARTA"/>
    <d v="1988-04-09T00:00:00"/>
    <x v="15"/>
    <n v="0.82"/>
    <x v="5"/>
    <x v="1"/>
    <s v="SP"/>
    <n v="7000000"/>
    <n v="0"/>
  </r>
  <r>
    <s v="E2082"/>
    <x v="88"/>
    <x v="0"/>
    <x v="1"/>
    <x v="76"/>
    <s v="Islam"/>
    <s v="M"/>
    <x v="1"/>
    <s v="BANDUNG"/>
    <d v="1991-04-07T00:00:00"/>
    <x v="3"/>
    <n v="0.76"/>
    <x v="7"/>
    <x v="2"/>
    <s v="ST"/>
    <n v="4000000"/>
    <n v="0"/>
  </r>
  <r>
    <s v="E1989"/>
    <x v="89"/>
    <x v="0"/>
    <x v="1"/>
    <x v="77"/>
    <s v="Islam"/>
    <s v="M"/>
    <x v="1"/>
    <s v="BEKASI"/>
    <d v="1989-09-08T00:00:00"/>
    <x v="10"/>
    <n v="0.94"/>
    <x v="8"/>
    <x v="0"/>
    <s v="SS"/>
    <n v="5000000"/>
    <n v="5000000"/>
  </r>
  <r>
    <s v="E1987"/>
    <x v="90"/>
    <x v="0"/>
    <x v="1"/>
    <x v="77"/>
    <s v="Islam"/>
    <s v="M"/>
    <x v="1"/>
    <s v="BEKASI"/>
    <d v="1989-09-08T00:00:00"/>
    <x v="10"/>
    <n v="0.76"/>
    <x v="4"/>
    <x v="2"/>
    <s v="ST"/>
    <n v="4000000"/>
    <n v="0"/>
  </r>
  <r>
    <s v="E2601"/>
    <x v="91"/>
    <x v="0"/>
    <x v="1"/>
    <x v="58"/>
    <s v="Islam"/>
    <s v="M"/>
    <x v="1"/>
    <s v="JAKARTA"/>
    <d v="1994-03-06T00:00:00"/>
    <x v="6"/>
    <n v="0.9"/>
    <x v="7"/>
    <x v="2"/>
    <s v="ST"/>
    <n v="4000000"/>
    <n v="0"/>
  </r>
  <r>
    <s v="N1579"/>
    <x v="92"/>
    <x v="0"/>
    <x v="0"/>
    <x v="78"/>
    <s v="Islam"/>
    <s v="M"/>
    <x v="1"/>
    <s v="JAKARTA"/>
    <d v="1990-08-02T00:00:00"/>
    <x v="7"/>
    <n v="0.63"/>
    <x v="8"/>
    <x v="2"/>
    <s v="ST"/>
    <n v="4000000"/>
    <n v="0"/>
  </r>
  <r>
    <s v="N0867"/>
    <x v="93"/>
    <x v="0"/>
    <x v="0"/>
    <x v="79"/>
    <s v="Islam"/>
    <s v="M"/>
    <x v="1"/>
    <s v="PALEMBANG"/>
    <d v="1979-12-28T00:00:00"/>
    <x v="8"/>
    <n v="0.7"/>
    <x v="3"/>
    <x v="2"/>
    <s v="ST"/>
    <n v="4000000"/>
    <n v="0"/>
  </r>
  <r>
    <s v="E2389"/>
    <x v="94"/>
    <x v="0"/>
    <x v="1"/>
    <x v="80"/>
    <s v="Islam"/>
    <s v="M"/>
    <x v="1"/>
    <s v="JAKARTA"/>
    <d v="1992-06-10T00:00:00"/>
    <x v="1"/>
    <n v="0.62"/>
    <x v="9"/>
    <x v="0"/>
    <s v="SS"/>
    <n v="5000000"/>
    <n v="0"/>
  </r>
  <r>
    <s v="E1175"/>
    <x v="95"/>
    <x v="2"/>
    <x v="1"/>
    <x v="10"/>
    <s v="Islam"/>
    <s v="M"/>
    <x v="1"/>
    <s v="BANDUNG"/>
    <d v="1975-10-16T00:00:00"/>
    <x v="11"/>
    <n v="0.67"/>
    <x v="7"/>
    <x v="1"/>
    <s v="SP"/>
    <n v="7000000"/>
    <n v="0"/>
  </r>
  <r>
    <s v="N1378"/>
    <x v="96"/>
    <x v="0"/>
    <x v="0"/>
    <x v="81"/>
    <s v="Islam"/>
    <s v="M"/>
    <x v="1"/>
    <s v="BANDUNG"/>
    <d v="1993-05-30T00:00:00"/>
    <x v="5"/>
    <n v="0.6"/>
    <x v="5"/>
    <x v="2"/>
    <s v="ST"/>
    <n v="4000000"/>
    <n v="0"/>
  </r>
  <r>
    <s v="E2890"/>
    <x v="97"/>
    <x v="0"/>
    <x v="1"/>
    <x v="82"/>
    <s v="Islam"/>
    <s v="M"/>
    <x v="1"/>
    <s v="PACITAN"/>
    <d v="1994-12-16T00:00:00"/>
    <x v="6"/>
    <n v="0.81"/>
    <x v="7"/>
    <x v="0"/>
    <s v="SS"/>
    <n v="5000000"/>
    <n v="0"/>
  </r>
  <r>
    <s v="E0967"/>
    <x v="98"/>
    <x v="5"/>
    <x v="1"/>
    <x v="83"/>
    <s v="Islam"/>
    <s v="M"/>
    <x v="1"/>
    <s v="SURABAYA"/>
    <d v="1985-01-13T00:00:00"/>
    <x v="9"/>
    <n v="0.6"/>
    <x v="8"/>
    <x v="2"/>
    <s v="ST"/>
    <n v="4000000"/>
    <n v="0"/>
  </r>
  <r>
    <s v="N1660"/>
    <x v="99"/>
    <x v="0"/>
    <x v="0"/>
    <x v="84"/>
    <s v="Islam"/>
    <s v="M"/>
    <x v="1"/>
    <s v="JAKARTA"/>
    <d v="1986-10-16T00:00:00"/>
    <x v="13"/>
    <n v="0.83"/>
    <x v="4"/>
    <x v="2"/>
    <s v="ST"/>
    <n v="4000000"/>
    <n v="0"/>
  </r>
  <r>
    <s v="E1806"/>
    <x v="100"/>
    <x v="0"/>
    <x v="1"/>
    <x v="85"/>
    <s v="Islam"/>
    <s v="M"/>
    <x v="1"/>
    <s v="JAKARTA"/>
    <d v="1990-06-19T00:00:00"/>
    <x v="7"/>
    <n v="0.84"/>
    <x v="7"/>
    <x v="5"/>
    <s v="JM"/>
    <n v="12000000"/>
    <n v="0"/>
  </r>
  <r>
    <s v="E1036"/>
    <x v="101"/>
    <x v="2"/>
    <x v="1"/>
    <x v="86"/>
    <s v="Islam"/>
    <s v="M"/>
    <x v="1"/>
    <s v="JAKARTA"/>
    <d v="1984-11-30T00:00:00"/>
    <x v="12"/>
    <n v="0.66"/>
    <x v="8"/>
    <x v="5"/>
    <s v="JM"/>
    <n v="12000000"/>
    <n v="0"/>
  </r>
  <r>
    <s v="N2183"/>
    <x v="102"/>
    <x v="0"/>
    <x v="0"/>
    <x v="87"/>
    <s v="Islam"/>
    <s v="F"/>
    <x v="0"/>
    <s v="TEGAL"/>
    <d v="1998-05-29T00:00:00"/>
    <x v="23"/>
    <n v="0.77"/>
    <x v="3"/>
    <x v="1"/>
    <s v="SP"/>
    <n v="7000000"/>
    <n v="0"/>
  </r>
  <r>
    <s v="N1723"/>
    <x v="103"/>
    <x v="2"/>
    <x v="0"/>
    <x v="88"/>
    <s v="Islam"/>
    <s v="F"/>
    <x v="0"/>
    <s v="CIMAHI"/>
    <d v="1985-02-11T00:00:00"/>
    <x v="9"/>
    <n v="0.79"/>
    <x v="5"/>
    <x v="1"/>
    <s v="SP"/>
    <n v="7000000"/>
    <n v="0"/>
  </r>
  <r>
    <s v="N1583"/>
    <x v="104"/>
    <x v="0"/>
    <x v="0"/>
    <x v="89"/>
    <s v="Islam"/>
    <s v="F"/>
    <x v="0"/>
    <s v="JAKARTA"/>
    <d v="1993-01-15T00:00:00"/>
    <x v="5"/>
    <n v="0.64"/>
    <x v="4"/>
    <x v="3"/>
    <s v="GM"/>
    <n v="25000000"/>
    <n v="0"/>
  </r>
  <r>
    <s v="E1512"/>
    <x v="105"/>
    <x v="0"/>
    <x v="1"/>
    <x v="90"/>
    <s v="Islam"/>
    <s v="F"/>
    <x v="0"/>
    <s v="MAKASAR"/>
    <d v="1990-03-28T00:00:00"/>
    <x v="7"/>
    <n v="0.85"/>
    <x v="3"/>
    <x v="4"/>
    <s v="SM"/>
    <n v="18000000"/>
    <n v="0"/>
  </r>
  <r>
    <s v="E2536"/>
    <x v="106"/>
    <x v="0"/>
    <x v="1"/>
    <x v="91"/>
    <s v="Katolik"/>
    <s v="F"/>
    <x v="0"/>
    <s v="BEKASI"/>
    <d v="1994-11-08T00:00:00"/>
    <x v="6"/>
    <n v="0.87"/>
    <x v="8"/>
    <x v="4"/>
    <s v="SM"/>
    <n v="18000000"/>
    <n v="0"/>
  </r>
  <r>
    <s v="E1062"/>
    <x v="107"/>
    <x v="0"/>
    <x v="1"/>
    <x v="92"/>
    <s v="Islam"/>
    <s v="M"/>
    <x v="1"/>
    <s v="PADANG"/>
    <d v="1982-04-23T00:00:00"/>
    <x v="24"/>
    <n v="0.88"/>
    <x v="10"/>
    <x v="4"/>
    <s v="SM"/>
    <n v="18000000"/>
    <n v="0"/>
  </r>
  <r>
    <s v="E1162"/>
    <x v="108"/>
    <x v="0"/>
    <x v="1"/>
    <x v="93"/>
    <s v="Islam"/>
    <s v="F"/>
    <x v="0"/>
    <s v="JAKARTA"/>
    <d v="1992-03-10T00:00:00"/>
    <x v="1"/>
    <n v="0.8"/>
    <x v="10"/>
    <x v="4"/>
    <s v="SM"/>
    <n v="18000000"/>
    <n v="0"/>
  </r>
  <r>
    <s v="E1182"/>
    <x v="109"/>
    <x v="0"/>
    <x v="1"/>
    <x v="94"/>
    <s v="Katolik"/>
    <s v="F"/>
    <x v="0"/>
    <s v="TEBING TINGGI"/>
    <d v="1973-11-26T00:00:00"/>
    <x v="25"/>
    <n v="0.84"/>
    <x v="10"/>
    <x v="1"/>
    <s v="SP"/>
    <n v="7000000"/>
    <n v="0"/>
  </r>
  <r>
    <s v="E1922"/>
    <x v="110"/>
    <x v="0"/>
    <x v="1"/>
    <x v="95"/>
    <s v="Islam"/>
    <s v="F"/>
    <x v="0"/>
    <s v="JAKARTA"/>
    <d v="1994-12-02T00:00:00"/>
    <x v="6"/>
    <n v="0.97"/>
    <x v="10"/>
    <x v="1"/>
    <s v="SP"/>
    <n v="7000000"/>
    <n v="7000000"/>
  </r>
  <r>
    <s v="E1735"/>
    <x v="111"/>
    <x v="5"/>
    <x v="1"/>
    <x v="96"/>
    <s v="Islam"/>
    <s v="F"/>
    <x v="0"/>
    <s v="BANYUWANGI"/>
    <d v="1990-09-07T00:00:00"/>
    <x v="7"/>
    <n v="0.78"/>
    <x v="10"/>
    <x v="1"/>
    <s v="SP"/>
    <n v="7000000"/>
    <n v="0"/>
  </r>
  <r>
    <s v="N2168"/>
    <x v="112"/>
    <x v="0"/>
    <x v="0"/>
    <x v="31"/>
    <s v="Islam"/>
    <s v="M"/>
    <x v="1"/>
    <s v="JAKARTA"/>
    <d v="1988-12-09T00:00:00"/>
    <x v="15"/>
    <n v="0.87"/>
    <x v="10"/>
    <x v="3"/>
    <s v="GM"/>
    <n v="25000000"/>
    <n v="0"/>
  </r>
  <r>
    <s v="E1016"/>
    <x v="113"/>
    <x v="1"/>
    <x v="1"/>
    <x v="97"/>
    <s v="Islam"/>
    <s v="M"/>
    <x v="1"/>
    <s v="MEDAN"/>
    <d v="1982-10-28T00:00:00"/>
    <x v="24"/>
    <n v="0.79"/>
    <x v="10"/>
    <x v="0"/>
    <s v="SS"/>
    <n v="5000000"/>
    <n v="0"/>
  </r>
  <r>
    <s v="E2527"/>
    <x v="114"/>
    <x v="5"/>
    <x v="1"/>
    <x v="98"/>
    <s v="Islam"/>
    <s v="F"/>
    <x v="0"/>
    <s v="SURABAYA"/>
    <d v="1993-10-01T00:00:00"/>
    <x v="5"/>
    <n v="0.6"/>
    <x v="10"/>
    <x v="1"/>
    <s v="SP"/>
    <n v="7000000"/>
    <n v="0"/>
  </r>
  <r>
    <s v="E1900"/>
    <x v="115"/>
    <x v="0"/>
    <x v="1"/>
    <x v="99"/>
    <s v="Islam"/>
    <s v="F"/>
    <x v="0"/>
    <s v="PEKALONGAN"/>
    <d v="1987-01-22T00:00:00"/>
    <x v="0"/>
    <n v="0.74"/>
    <x v="10"/>
    <x v="0"/>
    <s v="SS"/>
    <n v="5000000"/>
    <n v="0"/>
  </r>
  <r>
    <s v="E1909"/>
    <x v="116"/>
    <x v="0"/>
    <x v="1"/>
    <x v="99"/>
    <s v="Islam"/>
    <s v="F"/>
    <x v="0"/>
    <s v="PEKALONGAN"/>
    <d v="1987-01-22T00:00:00"/>
    <x v="0"/>
    <n v="0.88"/>
    <x v="10"/>
    <x v="2"/>
    <s v="ST"/>
    <n v="4000000"/>
    <n v="0"/>
  </r>
  <r>
    <s v="N2857"/>
    <x v="117"/>
    <x v="0"/>
    <x v="0"/>
    <x v="100"/>
    <s v="Islam"/>
    <s v="F"/>
    <x v="0"/>
    <s v="BOGOR"/>
    <d v="2000-06-16T00:00:00"/>
    <x v="26"/>
    <n v="0.66"/>
    <x v="10"/>
    <x v="0"/>
    <s v="SS"/>
    <n v="5000000"/>
    <n v="0"/>
  </r>
  <r>
    <s v="N2139"/>
    <x v="118"/>
    <x v="0"/>
    <x v="0"/>
    <x v="101"/>
    <s v="Islam"/>
    <s v="F"/>
    <x v="0"/>
    <s v="JAKARTA"/>
    <d v="1996-07-19T00:00:00"/>
    <x v="4"/>
    <n v="0.87"/>
    <x v="10"/>
    <x v="0"/>
    <s v="SS"/>
    <n v="5000000"/>
    <n v="0"/>
  </r>
  <r>
    <s v="N1568"/>
    <x v="119"/>
    <x v="0"/>
    <x v="0"/>
    <x v="48"/>
    <s v="Islam"/>
    <s v="F"/>
    <x v="0"/>
    <s v="JAKARTA"/>
    <d v="1994-12-07T00:00:00"/>
    <x v="6"/>
    <n v="0.82"/>
    <x v="10"/>
    <x v="2"/>
    <s v="ST"/>
    <n v="4000000"/>
    <n v="0"/>
  </r>
  <r>
    <s v="N1713"/>
    <x v="120"/>
    <x v="0"/>
    <x v="0"/>
    <x v="102"/>
    <s v="Islam"/>
    <s v="F"/>
    <x v="0"/>
    <s v="JAKARTA"/>
    <d v="1986-02-24T00:00:00"/>
    <x v="13"/>
    <n v="0.61"/>
    <x v="10"/>
    <x v="2"/>
    <s v="ST"/>
    <n v="4000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0BBC3-102A-4C57-88D0-84B852B2F8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A6" firstHeaderRow="1" firstDataRow="1" firstDataCol="0"/>
  <pivotFields count="21">
    <pivotField showAll="0"/>
    <pivotField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dataField="1" showAll="0"/>
    <pivotField numFmtId="9" showAll="0"/>
    <pivotField showAll="0">
      <items count="12">
        <item x="10"/>
        <item x="9"/>
        <item x="8"/>
        <item x="6"/>
        <item x="1"/>
        <item x="4"/>
        <item x="7"/>
        <item x="0"/>
        <item x="5"/>
        <item x="2"/>
        <item x="3"/>
        <item t="default"/>
      </items>
    </pivotField>
    <pivotField showAll="0">
      <items count="8">
        <item x="6"/>
        <item x="3"/>
        <item x="5"/>
        <item x="4"/>
        <item x="0"/>
        <item x="2"/>
        <item x="1"/>
        <item t="default"/>
      </items>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Items count="1">
    <i/>
  </rowItems>
  <colItems count="1">
    <i/>
  </colItems>
  <dataFields count="1">
    <dataField name="Average of Usia" fld="10" subtotal="average" baseField="0" baseItem="0" numFmtId="169"/>
  </dataFields>
  <formats count="11">
    <format dxfId="572">
      <pivotArea outline="0" collapsedLevelsAreSubtotals="1" fieldPosition="0"/>
    </format>
    <format dxfId="573">
      <pivotArea outline="0" collapsedLevelsAreSubtotals="1" fieldPosition="0"/>
    </format>
    <format dxfId="574">
      <pivotArea outline="0" collapsedLevelsAreSubtotals="1" fieldPosition="0"/>
    </format>
    <format dxfId="575">
      <pivotArea outline="0" collapsedLevelsAreSubtotals="1" fieldPosition="0"/>
    </format>
    <format dxfId="576">
      <pivotArea outline="0" collapsedLevelsAreSubtotals="1" fieldPosition="0"/>
    </format>
    <format dxfId="577">
      <pivotArea outline="0" fieldPosition="0">
        <references count="1">
          <reference field="4294967294" count="1">
            <x v="0"/>
          </reference>
        </references>
      </pivotArea>
    </format>
    <format dxfId="578">
      <pivotArea type="all" dataOnly="0" outline="0" fieldPosition="0"/>
    </format>
    <format dxfId="579">
      <pivotArea outline="0" collapsedLevelsAreSubtotals="1" fieldPosition="0"/>
    </format>
    <format dxfId="580">
      <pivotArea dataOnly="0" labelOnly="1" outline="0" axis="axisValues" fieldPosition="0"/>
    </format>
    <format dxfId="78">
      <pivotArea dataOnly="0" labelOnly="1" outline="0" axis="axisValues" fieldPosition="0"/>
    </format>
    <format dxfId="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D39C2E-991D-4DCC-8F7F-B2D69F569D4A}" name="Total Karyawan by Jabat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C1:D9" firstHeaderRow="1" firstDataRow="1" firstDataCol="1"/>
  <pivotFields count="21">
    <pivotField showAll="0"/>
    <pivotField dataField="1"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showAll="0" sortType="ascending">
      <items count="12">
        <item x="10"/>
        <item x="9"/>
        <item x="8"/>
        <item x="6"/>
        <item x="1"/>
        <item x="4"/>
        <item x="7"/>
        <item x="0"/>
        <item x="5"/>
        <item x="2"/>
        <item x="3"/>
        <item t="default"/>
      </items>
      <autoSortScope>
        <pivotArea dataOnly="0" outline="0" fieldPosition="0">
          <references count="1">
            <reference field="4294967294" count="1" selected="0">
              <x v="0"/>
            </reference>
          </references>
        </pivotArea>
      </autoSortScope>
    </pivotField>
    <pivotField axis="axisRow" showAll="0" sortType="ascending">
      <items count="8">
        <item x="6"/>
        <item x="3"/>
        <item x="5"/>
        <item x="4"/>
        <item x="0"/>
        <item x="2"/>
        <item x="1"/>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Fields count="1">
    <field x="13"/>
  </rowFields>
  <rowItems count="8">
    <i>
      <x/>
    </i>
    <i>
      <x v="2"/>
    </i>
    <i>
      <x v="3"/>
    </i>
    <i>
      <x v="1"/>
    </i>
    <i>
      <x v="6"/>
    </i>
    <i>
      <x v="5"/>
    </i>
    <i>
      <x v="4"/>
    </i>
    <i t="grand">
      <x/>
    </i>
  </rowItems>
  <colItems count="1">
    <i/>
  </colItems>
  <dataFields count="1">
    <dataField name="Count of Nama Karyawan" fld="1" subtotal="count" baseField="0" baseItem="0"/>
  </dataFields>
  <formats count="15">
    <format dxfId="593">
      <pivotArea outline="0" collapsedLevelsAreSubtotals="1" fieldPosition="0"/>
    </format>
    <format dxfId="594">
      <pivotArea type="all" dataOnly="0" outline="0" fieldPosition="0"/>
    </format>
    <format dxfId="595">
      <pivotArea outline="0" collapsedLevelsAreSubtotals="1" fieldPosition="0"/>
    </format>
    <format dxfId="596">
      <pivotArea field="13" type="button" dataOnly="0" labelOnly="1" outline="0" axis="axisRow" fieldPosition="0"/>
    </format>
    <format dxfId="597">
      <pivotArea dataOnly="0" labelOnly="1" fieldPosition="0">
        <references count="1">
          <reference field="13" count="0"/>
        </references>
      </pivotArea>
    </format>
    <format dxfId="598">
      <pivotArea dataOnly="0" labelOnly="1" grandRow="1" outline="0" fieldPosition="0"/>
    </format>
    <format dxfId="599">
      <pivotArea dataOnly="0" labelOnly="1" outline="0" axis="axisValues" fieldPosition="0"/>
    </format>
    <format dxfId="81">
      <pivotArea field="13" type="button" dataOnly="0" labelOnly="1" outline="0" axis="axisRow" fieldPosition="0"/>
    </format>
    <format dxfId="64">
      <pivotArea field="13" type="button" dataOnly="0" labelOnly="1" outline="0" axis="axisRow" fieldPosition="0"/>
    </format>
    <format dxfId="63">
      <pivotArea dataOnly="0" labelOnly="1" outline="0" axis="axisValues" fieldPosition="0"/>
    </format>
    <format dxfId="61">
      <pivotArea dataOnly="0" labelOnly="1" outline="0" axis="axisValues" fieldPosition="0"/>
    </format>
    <format dxfId="53">
      <pivotArea grandRow="1" outline="0" collapsedLevelsAreSubtotals="1" fieldPosition="0"/>
    </format>
    <format dxfId="52">
      <pivotArea dataOnly="0" labelOnly="1" grandRow="1" outline="0" fieldPosition="0"/>
    </format>
    <format dxfId="51">
      <pivotArea grandRow="1" outline="0" collapsedLevelsAreSubtotals="1" fieldPosition="0"/>
    </format>
    <format dxfId="50">
      <pivotArea dataOnly="0" labelOnly="1" grandRow="1" outline="0" fieldPosition="0"/>
    </format>
  </formats>
  <chartFormats count="2">
    <chartFormat chart="3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0B5DA-E1EF-4557-BCE4-9CE794A7BFA2}" name="Historical Karyawan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B27:D51" firstHeaderRow="0" firstDataRow="1" firstDataCol="1"/>
  <pivotFields count="21">
    <pivotField showAll="0"/>
    <pivotField dataField="1"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showAll="0">
      <items count="12">
        <item x="10"/>
        <item x="9"/>
        <item x="8"/>
        <item x="6"/>
        <item x="1"/>
        <item x="4"/>
        <item x="7"/>
        <item x="0"/>
        <item x="5"/>
        <item x="2"/>
        <item x="3"/>
        <item t="default"/>
      </items>
    </pivotField>
    <pivotField showAll="0">
      <items count="8">
        <item x="6"/>
        <item x="3"/>
        <item x="5"/>
        <item x="4"/>
        <item x="0"/>
        <item x="2"/>
        <item x="1"/>
        <item t="default"/>
      </items>
    </pivotField>
    <pivotField showAll="0"/>
    <pivotField numFmtId="44" showAll="0"/>
    <pivotField numFmtId="4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t="default"/>
      </items>
    </pivotField>
    <pivotField dragToRow="0" dragToCol="0" dragToPage="0" showAll="0" defaultSubtotal="0"/>
  </pivotFields>
  <rowFields count="1">
    <field x="19"/>
  </rowFields>
  <rowItems count="24">
    <i>
      <x v="1"/>
    </i>
    <i>
      <x v="3"/>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Count of Nama Karyawan" fld="1" subtotal="count" baseField="0" baseItem="0"/>
    <dataField name="Count of Nama Karyawan (Cumulative)" fld="1" subtotal="count" showDataAs="runTotal" baseField="19" baseItem="0"/>
  </dataFields>
  <formats count="12">
    <format dxfId="629">
      <pivotArea type="all" dataOnly="0" outline="0" fieldPosition="0"/>
    </format>
    <format dxfId="630">
      <pivotArea outline="0" collapsedLevelsAreSubtotals="1" fieldPosition="0"/>
    </format>
    <format dxfId="631">
      <pivotArea field="19" type="button" dataOnly="0" labelOnly="1" outline="0" axis="axisRow" fieldPosition="0"/>
    </format>
    <format dxfId="632">
      <pivotArea dataOnly="0" labelOnly="1" fieldPosition="0">
        <references count="1">
          <reference field="19" count="23">
            <x v="1"/>
            <x v="3"/>
            <x v="5"/>
            <x v="6"/>
            <x v="7"/>
            <x v="8"/>
            <x v="9"/>
            <x v="10"/>
            <x v="11"/>
            <x v="12"/>
            <x v="13"/>
            <x v="14"/>
            <x v="15"/>
            <x v="16"/>
            <x v="17"/>
            <x v="18"/>
            <x v="19"/>
            <x v="20"/>
            <x v="21"/>
            <x v="22"/>
            <x v="23"/>
            <x v="24"/>
            <x v="25"/>
          </reference>
        </references>
      </pivotArea>
    </format>
    <format dxfId="633">
      <pivotArea dataOnly="0" labelOnly="1" grandRow="1" outline="0" fieldPosition="0"/>
    </format>
    <format dxfId="634">
      <pivotArea dataOnly="0" labelOnly="1" outline="0" fieldPosition="0">
        <references count="1">
          <reference field="4294967294" count="2">
            <x v="0"/>
            <x v="1"/>
          </reference>
        </references>
      </pivotArea>
    </format>
    <format dxfId="47">
      <pivotArea field="19" type="button" dataOnly="0" labelOnly="1" outline="0" axis="axisRow" fieldPosition="0"/>
    </format>
    <format dxfId="46">
      <pivotArea dataOnly="0" labelOnly="1" outline="0" fieldPosition="0">
        <references count="1">
          <reference field="4294967294" count="2">
            <x v="0"/>
            <x v="1"/>
          </reference>
        </references>
      </pivotArea>
    </format>
    <format dxfId="45">
      <pivotArea field="19" type="button" dataOnly="0" labelOnly="1" outline="0" axis="axisRow" fieldPosition="0"/>
    </format>
    <format dxfId="44">
      <pivotArea dataOnly="0" labelOnly="1" outline="0" fieldPosition="0">
        <references count="1">
          <reference field="4294967294" count="2">
            <x v="0"/>
            <x v="1"/>
          </reference>
        </references>
      </pivotArea>
    </format>
    <format dxfId="43">
      <pivotArea field="19" dataOnly="0" grandRow="1" axis="axisRow" fieldPosition="0">
        <references count="1">
          <reference field="19" count="0"/>
        </references>
      </pivotArea>
    </format>
    <format dxfId="42">
      <pivotArea field="19" dataOnly="0" grandRow="1" axis="axisRow" fieldPosition="0">
        <references count="1">
          <reference field="19"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1"/>
          </reference>
          <reference field="1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DDBEC6-7C93-45B4-BBB5-492FDDCF36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A2" firstHeaderRow="1" firstDataRow="1" firstDataCol="0"/>
  <pivotFields count="21">
    <pivotField showAll="0"/>
    <pivotField dataField="1"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showAll="0">
      <items count="12">
        <item x="10"/>
        <item x="9"/>
        <item x="8"/>
        <item x="6"/>
        <item x="1"/>
        <item x="4"/>
        <item x="7"/>
        <item x="0"/>
        <item x="5"/>
        <item x="2"/>
        <item x="3"/>
        <item t="default"/>
      </items>
    </pivotField>
    <pivotField showAll="0">
      <items count="8">
        <item x="6"/>
        <item x="3"/>
        <item x="5"/>
        <item x="4"/>
        <item x="0"/>
        <item x="2"/>
        <item x="1"/>
        <item t="default"/>
      </items>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Items count="1">
    <i/>
  </rowItems>
  <colItems count="1">
    <i/>
  </colItems>
  <dataFields count="1">
    <dataField name="Count of Nama Karyawan" fld="1" subtotal="count" baseField="7" baseItem="0"/>
  </dataFields>
  <formats count="6">
    <format dxfId="581">
      <pivotArea dataOnly="0" labelOnly="1" outline="0" axis="axisValues" fieldPosition="0"/>
    </format>
    <format dxfId="582">
      <pivotArea type="all" dataOnly="0" outline="0" fieldPosition="0"/>
    </format>
    <format dxfId="583">
      <pivotArea outline="0" collapsedLevelsAreSubtotals="1" fieldPosition="0"/>
    </format>
    <format dxfId="584">
      <pivotArea dataOnly="0" labelOnly="1" outline="0" axis="axisValues" fieldPosition="0"/>
    </format>
    <format dxfId="80">
      <pivotArea dataOnly="0" labelOnly="1" outline="0" axis="axisValues" fieldPosition="0"/>
    </format>
    <format dxfId="74">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E26244-92E8-4947-BE70-84D0A9837972}" name="Kontribusi Gaji by Jabat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F11:G19" firstHeaderRow="1" firstDataRow="1" firstDataCol="1"/>
  <pivotFields count="21">
    <pivotField showAll="0"/>
    <pivotField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showAll="0">
      <items count="12">
        <item x="10"/>
        <item x="9"/>
        <item x="8"/>
        <item x="6"/>
        <item x="1"/>
        <item x="4"/>
        <item x="7"/>
        <item x="0"/>
        <item x="5"/>
        <item x="2"/>
        <item x="3"/>
        <item t="default"/>
      </items>
    </pivotField>
    <pivotField axis="axisRow" showAll="0" sortType="descending">
      <items count="8">
        <item x="6"/>
        <item x="3"/>
        <item x="5"/>
        <item x="4"/>
        <item x="0"/>
        <item x="2"/>
        <item x="1"/>
        <item t="default"/>
      </items>
      <autoSortScope>
        <pivotArea dataOnly="0" outline="0" fieldPosition="0">
          <references count="1">
            <reference field="4294967294" count="1" selected="0">
              <x v="0"/>
            </reference>
          </references>
        </pivotArea>
      </autoSortScope>
    </pivotField>
    <pivotField showAll="0"/>
    <pivotField dataField="1"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Fields count="1">
    <field x="13"/>
  </rowFields>
  <rowItems count="8">
    <i>
      <x v="1"/>
    </i>
    <i>
      <x v="6"/>
    </i>
    <i>
      <x v="3"/>
    </i>
    <i>
      <x v="4"/>
    </i>
    <i>
      <x v="5"/>
    </i>
    <i>
      <x v="2"/>
    </i>
    <i>
      <x/>
    </i>
    <i t="grand">
      <x/>
    </i>
  </rowItems>
  <colItems count="1">
    <i/>
  </colItems>
  <dataFields count="1">
    <dataField name="Sum of Gaji Pokok" fld="15" baseField="13" baseItem="1" numFmtId="166"/>
  </dataFields>
  <formats count="18">
    <format dxfId="585">
      <pivotArea outline="0" collapsedLevelsAreSubtotals="1" fieldPosition="0"/>
    </format>
    <format dxfId="586">
      <pivotArea outline="0" fieldPosition="0">
        <references count="1">
          <reference field="4294967294" count="1">
            <x v="0"/>
          </reference>
        </references>
      </pivotArea>
    </format>
    <format dxfId="587">
      <pivotArea type="all" dataOnly="0" outline="0" fieldPosition="0"/>
    </format>
    <format dxfId="588">
      <pivotArea outline="0" collapsedLevelsAreSubtotals="1" fieldPosition="0"/>
    </format>
    <format dxfId="589">
      <pivotArea field="13" type="button" dataOnly="0" labelOnly="1" outline="0" axis="axisRow" fieldPosition="0"/>
    </format>
    <format dxfId="590">
      <pivotArea dataOnly="0" labelOnly="1" fieldPosition="0">
        <references count="1">
          <reference field="13" count="0"/>
        </references>
      </pivotArea>
    </format>
    <format dxfId="591">
      <pivotArea dataOnly="0" labelOnly="1" grandRow="1" outline="0" fieldPosition="0"/>
    </format>
    <format dxfId="592">
      <pivotArea dataOnly="0" labelOnly="1" outline="0" axis="axisValues" fieldPosition="0"/>
    </format>
    <format dxfId="31">
      <pivotArea grandRow="1" outline="0" collapsedLevelsAreSubtotals="1" fieldPosition="0"/>
    </format>
    <format dxfId="30">
      <pivotArea dataOnly="0" labelOnly="1" grandRow="1" outline="0" fieldPosition="0"/>
    </format>
    <format dxfId="29">
      <pivotArea grandRow="1" outline="0" collapsedLevelsAreSubtotals="1" fieldPosition="0"/>
    </format>
    <format dxfId="28">
      <pivotArea dataOnly="0" labelOnly="1" grandRow="1" outline="0" fieldPosition="0"/>
    </format>
    <format dxfId="27">
      <pivotArea grandRow="1" outline="0" collapsedLevelsAreSubtotals="1" fieldPosition="0"/>
    </format>
    <format dxfId="26">
      <pivotArea dataOnly="0" labelOnly="1" grandRow="1" outline="0" fieldPosition="0"/>
    </format>
    <format dxfId="25">
      <pivotArea field="13" type="button" dataOnly="0" labelOnly="1" outline="0" axis="axisRow" fieldPosition="0"/>
    </format>
    <format dxfId="24">
      <pivotArea dataOnly="0" labelOnly="1" outline="0" axis="axisValues" fieldPosition="0"/>
    </format>
    <format dxfId="22">
      <pivotArea field="13" type="button" dataOnly="0" labelOnly="1" outline="0" axis="axisRow" fieldPosition="0"/>
    </format>
    <format dxfId="21">
      <pivotArea dataOnly="0" labelOnly="1" outline="0" axis="axisValues" fieldPosition="0"/>
    </format>
  </format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763D75-27C6-409D-A73B-108C8817B77D}" name="Total Karyawan by B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1:G8" firstHeaderRow="1" firstDataRow="1" firstDataCol="1"/>
  <pivotFields count="21">
    <pivotField showAll="0"/>
    <pivotField dataField="1" showAll="0"/>
    <pivotField axis="axisRow" showAll="0" sortType="descending">
      <items count="7">
        <item x="2"/>
        <item x="4"/>
        <item x="0"/>
        <item x="3"/>
        <item x="1"/>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showAll="0">
      <items count="12">
        <item x="10"/>
        <item x="9"/>
        <item x="8"/>
        <item x="6"/>
        <item x="1"/>
        <item x="4"/>
        <item x="7"/>
        <item x="0"/>
        <item x="5"/>
        <item x="2"/>
        <item x="3"/>
        <item t="default"/>
      </items>
    </pivotField>
    <pivotField showAll="0">
      <items count="8">
        <item x="6"/>
        <item x="3"/>
        <item x="5"/>
        <item x="4"/>
        <item x="0"/>
        <item x="2"/>
        <item x="1"/>
        <item t="default"/>
      </items>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Fields count="1">
    <field x="2"/>
  </rowFields>
  <rowItems count="7">
    <i>
      <x v="2"/>
    </i>
    <i>
      <x v="4"/>
    </i>
    <i>
      <x/>
    </i>
    <i>
      <x v="5"/>
    </i>
    <i>
      <x v="3"/>
    </i>
    <i>
      <x v="1"/>
    </i>
    <i t="grand">
      <x/>
    </i>
  </rowItems>
  <colItems count="1">
    <i/>
  </colItems>
  <dataFields count="1">
    <dataField name="Count of Nama Karyawan" fld="1" subtotal="count" baseField="0" baseItem="0"/>
  </dataFields>
  <formats count="14">
    <format dxfId="607">
      <pivotArea type="all" dataOnly="0" outline="0" fieldPosition="0"/>
    </format>
    <format dxfId="608">
      <pivotArea outline="0" collapsedLevelsAreSubtotals="1" fieldPosition="0"/>
    </format>
    <format dxfId="609">
      <pivotArea field="2" type="button" dataOnly="0" labelOnly="1" outline="0" axis="axisRow" fieldPosition="0"/>
    </format>
    <format dxfId="610">
      <pivotArea dataOnly="0" labelOnly="1" fieldPosition="0">
        <references count="1">
          <reference field="2" count="0"/>
        </references>
      </pivotArea>
    </format>
    <format dxfId="611">
      <pivotArea dataOnly="0" labelOnly="1" grandRow="1" outline="0" fieldPosition="0"/>
    </format>
    <format dxfId="612">
      <pivotArea dataOnly="0" labelOnly="1" outline="0" axis="axisValues" fieldPosition="0"/>
    </format>
    <format dxfId="41">
      <pivotArea field="2" type="button" dataOnly="0" labelOnly="1" outline="0" axis="axisRow" fieldPosition="0"/>
    </format>
    <format dxfId="40">
      <pivotArea dataOnly="0" labelOnly="1" outline="0" axis="axisValues" fieldPosition="0"/>
    </format>
    <format dxfId="38">
      <pivotArea field="2" type="button" dataOnly="0" labelOnly="1" outline="0" axis="axisRow" fieldPosition="0"/>
    </format>
    <format dxfId="37">
      <pivotArea dataOnly="0" labelOnly="1" outline="0" axis="axisValues" fieldPosition="0"/>
    </format>
    <format dxfId="35">
      <pivotArea grandRow="1" outline="0" collapsedLevelsAreSubtotals="1" fieldPosition="0"/>
    </format>
    <format dxfId="34">
      <pivotArea dataOnly="0" labelOnly="1" grandRow="1" outline="0" fieldPosition="0"/>
    </format>
    <format dxfId="33">
      <pivotArea grandRow="1" outline="0" collapsedLevelsAreSubtotals="1" fieldPosition="0"/>
    </format>
    <format dxfId="32">
      <pivotArea dataOnly="0" labelOnly="1" grandRow="1" outline="0" fieldPosition="0"/>
    </format>
  </format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859E52-1CCA-406C-B4A3-286BB6A0804F}" name="Total Karyawan by Divis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C12:D24" firstHeaderRow="1" firstDataRow="1" firstDataCol="1"/>
  <pivotFields count="21">
    <pivotField showAll="0"/>
    <pivotField dataField="1"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axis="axisRow" showAll="0" sortType="ascending">
      <items count="12">
        <item x="10"/>
        <item x="9"/>
        <item x="8"/>
        <item x="6"/>
        <item x="1"/>
        <item x="4"/>
        <item x="7"/>
        <item x="0"/>
        <item x="5"/>
        <item x="2"/>
        <item x="3"/>
        <item t="default"/>
      </items>
      <autoSortScope>
        <pivotArea dataOnly="0" outline="0" fieldPosition="0">
          <references count="1">
            <reference field="4294967294" count="1" selected="0">
              <x v="0"/>
            </reference>
          </references>
        </pivotArea>
      </autoSortScope>
    </pivotField>
    <pivotField showAll="0">
      <items count="8">
        <item x="6"/>
        <item x="3"/>
        <item x="5"/>
        <item x="4"/>
        <item x="0"/>
        <item x="2"/>
        <item x="1"/>
        <item t="default"/>
      </items>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Fields count="1">
    <field x="12"/>
  </rowFields>
  <rowItems count="12">
    <i>
      <x v="3"/>
    </i>
    <i>
      <x v="1"/>
    </i>
    <i>
      <x v="2"/>
    </i>
    <i>
      <x v="8"/>
    </i>
    <i>
      <x v="6"/>
    </i>
    <i>
      <x v="10"/>
    </i>
    <i>
      <x/>
    </i>
    <i>
      <x v="5"/>
    </i>
    <i>
      <x v="9"/>
    </i>
    <i>
      <x v="7"/>
    </i>
    <i>
      <x v="4"/>
    </i>
    <i t="grand">
      <x/>
    </i>
  </rowItems>
  <colItems count="1">
    <i/>
  </colItems>
  <dataFields count="1">
    <dataField name="Count of Nama Karyawan" fld="1" subtotal="count" baseField="0" baseItem="0"/>
  </dataFields>
  <formats count="13">
    <format dxfId="600">
      <pivotArea outline="0" collapsedLevelsAreSubtotals="1" fieldPosition="0"/>
    </format>
    <format dxfId="601">
      <pivotArea type="all" dataOnly="0" outline="0" fieldPosition="0"/>
    </format>
    <format dxfId="602">
      <pivotArea outline="0" collapsedLevelsAreSubtotals="1" fieldPosition="0"/>
    </format>
    <format dxfId="603">
      <pivotArea field="12" type="button" dataOnly="0" labelOnly="1" outline="0" axis="axisRow" fieldPosition="0"/>
    </format>
    <format dxfId="604">
      <pivotArea dataOnly="0" labelOnly="1" fieldPosition="0">
        <references count="1">
          <reference field="12" count="0"/>
        </references>
      </pivotArea>
    </format>
    <format dxfId="605">
      <pivotArea dataOnly="0" labelOnly="1" grandRow="1" outline="0" fieldPosition="0"/>
    </format>
    <format dxfId="606">
      <pivotArea dataOnly="0" labelOnly="1" outline="0" axis="axisValues" fieldPosition="0"/>
    </format>
    <format dxfId="59">
      <pivotArea field="12" type="button" dataOnly="0" labelOnly="1" outline="0" axis="axisRow" fieldPosition="0"/>
    </format>
    <format dxfId="58">
      <pivotArea dataOnly="0" labelOnly="1" outline="0" axis="axisValues" fieldPosition="0"/>
    </format>
    <format dxfId="56">
      <pivotArea field="12" type="button" dataOnly="0" labelOnly="1" outline="0" axis="axisRow" fieldPosition="0"/>
    </format>
    <format dxfId="55">
      <pivotArea dataOnly="0" labelOnly="1" outline="0" axis="axisValues" fieldPosition="0"/>
    </format>
    <format dxfId="49">
      <pivotArea field="12" dataOnly="0" grandRow="1" axis="axisRow" fieldPosition="0">
        <references count="1">
          <reference field="12" count="0"/>
        </references>
      </pivotArea>
    </format>
    <format dxfId="48">
      <pivotArea field="12" dataOnly="0" grandRow="1" axis="axisRow" fieldPosition="0">
        <references count="1">
          <reference field="12" count="0"/>
        </references>
      </pivotArea>
    </format>
  </formats>
  <chartFormats count="1">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6AA220-2FFC-4B10-9485-BBBDBE2DEB1F}" name="Total Bonus by Jabat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22:G30" firstHeaderRow="1" firstDataRow="1" firstDataCol="1"/>
  <pivotFields count="21">
    <pivotField showAll="0"/>
    <pivotField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showAll="0">
      <items count="12">
        <item x="10"/>
        <item x="9"/>
        <item x="8"/>
        <item x="6"/>
        <item x="1"/>
        <item x="4"/>
        <item x="7"/>
        <item x="0"/>
        <item x="5"/>
        <item x="2"/>
        <item x="3"/>
        <item t="default"/>
      </items>
    </pivotField>
    <pivotField axis="axisRow" showAll="0" sortType="descending">
      <items count="8">
        <item x="6"/>
        <item x="3"/>
        <item x="5"/>
        <item x="4"/>
        <item x="0"/>
        <item x="2"/>
        <item x="1"/>
        <item t="default"/>
      </items>
      <autoSortScope>
        <pivotArea dataOnly="0" outline="0" fieldPosition="0">
          <references count="1">
            <reference field="4294967294" count="1" selected="0">
              <x v="0"/>
            </reference>
          </references>
        </pivotArea>
      </autoSortScope>
    </pivotField>
    <pivotField showAll="0"/>
    <pivotField numFmtId="44"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Fields count="1">
    <field x="13"/>
  </rowFields>
  <rowItems count="8">
    <i>
      <x v="3"/>
    </i>
    <i>
      <x v="6"/>
    </i>
    <i>
      <x v="4"/>
    </i>
    <i>
      <x v="5"/>
    </i>
    <i>
      <x v="2"/>
    </i>
    <i>
      <x v="1"/>
    </i>
    <i>
      <x/>
    </i>
    <i t="grand">
      <x/>
    </i>
  </rowItems>
  <colItems count="1">
    <i/>
  </colItems>
  <dataFields count="1">
    <dataField name="Sum of Gaji Bonus" fld="16" baseField="0" baseItem="0" numFmtId="167"/>
  </dataFields>
  <formats count="18">
    <format dxfId="613">
      <pivotArea collapsedLevelsAreSubtotals="1" fieldPosition="0">
        <references count="1">
          <reference field="13" count="4">
            <x v="3"/>
            <x v="4"/>
            <x v="5"/>
            <x v="6"/>
          </reference>
        </references>
      </pivotArea>
    </format>
    <format dxfId="614">
      <pivotArea grandRow="1" outline="0" collapsedLevelsAreSubtotals="1" fieldPosition="0"/>
    </format>
    <format dxfId="615">
      <pivotArea outline="0" fieldPosition="0">
        <references count="1">
          <reference field="4294967294" count="1">
            <x v="0"/>
          </reference>
        </references>
      </pivotArea>
    </format>
    <format dxfId="616">
      <pivotArea outline="0" collapsedLevelsAreSubtotals="1" fieldPosition="0"/>
    </format>
    <format dxfId="617">
      <pivotArea type="all" dataOnly="0" outline="0" fieldPosition="0"/>
    </format>
    <format dxfId="618">
      <pivotArea outline="0" collapsedLevelsAreSubtotals="1" fieldPosition="0"/>
    </format>
    <format dxfId="619">
      <pivotArea field="13" type="button" dataOnly="0" labelOnly="1" outline="0" axis="axisRow" fieldPosition="0"/>
    </format>
    <format dxfId="620">
      <pivotArea dataOnly="0" labelOnly="1" fieldPosition="0">
        <references count="1">
          <reference field="13" count="0"/>
        </references>
      </pivotArea>
    </format>
    <format dxfId="621">
      <pivotArea dataOnly="0" labelOnly="1" grandRow="1" outline="0" fieldPosition="0"/>
    </format>
    <format dxfId="622">
      <pivotArea dataOnly="0" labelOnly="1" outline="0" axis="axisValues" fieldPosition="0"/>
    </format>
    <format dxfId="19">
      <pivotArea field="13" type="button" dataOnly="0" labelOnly="1" outline="0" axis="axisRow" fieldPosition="0"/>
    </format>
    <format dxfId="18">
      <pivotArea dataOnly="0" labelOnly="1" outline="0" axis="axisValues" fieldPosition="0"/>
    </format>
    <format dxfId="16">
      <pivotArea field="13" type="button" dataOnly="0" labelOnly="1" outline="0" axis="axisRow" fieldPosition="0"/>
    </format>
    <format dxfId="15">
      <pivotArea dataOnly="0" labelOnly="1" outline="0" axis="axisValues" fieldPosition="0"/>
    </format>
    <format dxfId="13">
      <pivotArea grandRow="1" outline="0" collapsedLevelsAreSubtotals="1" fieldPosition="0"/>
    </format>
    <format dxfId="12">
      <pivotArea dataOnly="0" labelOnly="1" grandRow="1" outline="0" fieldPosition="0"/>
    </format>
    <format dxfId="11">
      <pivotArea grandRow="1" outline="0" collapsedLevelsAreSubtotals="1" fieldPosition="0"/>
    </format>
    <format dxfId="10">
      <pivotArea dataOnly="0" labelOnly="1" grandRow="1" outline="0" fieldPosition="0"/>
    </format>
  </formats>
  <chartFormats count="2">
    <chartFormat chart="7"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BE0E17-FB29-47A8-85CC-FE8D84B888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3:A14" firstHeaderRow="1" firstDataRow="1" firstDataCol="0"/>
  <pivotFields count="21">
    <pivotField showAll="0"/>
    <pivotField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numFmtId="9" showAll="0"/>
    <pivotField showAll="0">
      <items count="12">
        <item x="10"/>
        <item x="9"/>
        <item x="8"/>
        <item x="6"/>
        <item x="1"/>
        <item x="4"/>
        <item x="7"/>
        <item x="0"/>
        <item x="5"/>
        <item x="2"/>
        <item x="3"/>
        <item t="default"/>
      </items>
    </pivotField>
    <pivotField showAll="0">
      <items count="8">
        <item x="6"/>
        <item x="3"/>
        <item x="5"/>
        <item x="4"/>
        <item x="0"/>
        <item x="2"/>
        <item x="1"/>
        <item t="default"/>
      </items>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dragToRow="0" dragToCol="0" dragToPage="0" showAll="0" defaultSubtotal="0"/>
  </pivotFields>
  <rowItems count="1">
    <i/>
  </rowItems>
  <colItems count="1">
    <i/>
  </colItems>
  <dataFields count="1">
    <dataField name="Sum of Total Gaji (Gaji Pokok &amp; Bonus)" fld="20" baseField="0" baseItem="0" numFmtId="168"/>
  </dataFields>
  <formats count="10">
    <format dxfId="556">
      <pivotArea outline="0" collapsedLevelsAreSubtotals="1" fieldPosition="0"/>
    </format>
    <format dxfId="557">
      <pivotArea outline="0" collapsedLevelsAreSubtotals="1" fieldPosition="0"/>
    </format>
    <format dxfId="558">
      <pivotArea outline="0" collapsedLevelsAreSubtotals="1" fieldPosition="0"/>
    </format>
    <format dxfId="559">
      <pivotArea outline="0" collapsedLevelsAreSubtotals="1" fieldPosition="0"/>
    </format>
    <format dxfId="560">
      <pivotArea outline="0" fieldPosition="0">
        <references count="1">
          <reference field="4294967294" count="1">
            <x v="0"/>
          </reference>
        </references>
      </pivotArea>
    </format>
    <format dxfId="561">
      <pivotArea type="all" dataOnly="0" outline="0" fieldPosition="0"/>
    </format>
    <format dxfId="562">
      <pivotArea outline="0" collapsedLevelsAreSubtotals="1" fieldPosition="0"/>
    </format>
    <format dxfId="563">
      <pivotArea dataOnly="0" labelOnly="1" outline="0" axis="axisValues" fieldPosition="0"/>
    </format>
    <format dxfId="68">
      <pivotArea dataOnly="0" labelOnly="1" outline="0" axis="axisValues"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56F4DA-EC65-45D4-821D-29FD1FC045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A10" firstHeaderRow="1" firstDataRow="1" firstDataCol="0"/>
  <pivotFields count="21">
    <pivotField showAll="0"/>
    <pivotField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showAll="0"/>
    <pivotField showAll="0"/>
    <pivotField numFmtId="14" showAll="0"/>
    <pivotField showAll="0"/>
    <pivotField dataField="1" numFmtId="9" showAll="0"/>
    <pivotField showAll="0">
      <items count="12">
        <item x="10"/>
        <item x="9"/>
        <item x="8"/>
        <item x="6"/>
        <item x="1"/>
        <item x="4"/>
        <item x="7"/>
        <item x="0"/>
        <item x="5"/>
        <item x="2"/>
        <item x="3"/>
        <item t="default"/>
      </items>
    </pivotField>
    <pivotField showAll="0">
      <items count="8">
        <item x="6"/>
        <item x="3"/>
        <item x="5"/>
        <item x="4"/>
        <item x="0"/>
        <item x="2"/>
        <item x="1"/>
        <item t="default"/>
      </items>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Items count="1">
    <i/>
  </rowItems>
  <colItems count="1">
    <i/>
  </colItems>
  <dataFields count="1">
    <dataField name="Average of KPI Performance" fld="11" subtotal="average" baseField="0" baseItem="0" numFmtId="165"/>
  </dataFields>
  <formats count="10">
    <format dxfId="564">
      <pivotArea outline="0" collapsedLevelsAreSubtotals="1" fieldPosition="0"/>
    </format>
    <format dxfId="565">
      <pivotArea outline="0" collapsedLevelsAreSubtotals="1" fieldPosition="0"/>
    </format>
    <format dxfId="566">
      <pivotArea outline="0" collapsedLevelsAreSubtotals="1" fieldPosition="0"/>
    </format>
    <format dxfId="567">
      <pivotArea outline="0" collapsedLevelsAreSubtotals="1" fieldPosition="0"/>
    </format>
    <format dxfId="568">
      <pivotArea outline="0" collapsedLevelsAreSubtotals="1" fieldPosition="0"/>
    </format>
    <format dxfId="569">
      <pivotArea type="all" dataOnly="0" outline="0" fieldPosition="0"/>
    </format>
    <format dxfId="570">
      <pivotArea outline="0" collapsedLevelsAreSubtotals="1" fieldPosition="0"/>
    </format>
    <format dxfId="571">
      <pivotArea dataOnly="0" labelOnly="1" outline="0" axis="axisValues" fieldPosition="0"/>
    </format>
    <format dxfId="76">
      <pivotArea dataOnly="0" labelOnly="1" outline="0" axis="axisValues"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C1454A-D9FA-4BC7-A774-E889E8635A48}" name="Distribusi Karyawan by Jenis Kelam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3:G36" firstHeaderRow="1" firstDataRow="1" firstDataCol="1"/>
  <pivotFields count="21">
    <pivotField showAll="0"/>
    <pivotField dataField="1" showAll="0"/>
    <pivotField showAll="0">
      <items count="7">
        <item x="2"/>
        <item x="4"/>
        <item x="0"/>
        <item x="3"/>
        <item x="1"/>
        <item x="5"/>
        <item t="default"/>
      </items>
    </pivotField>
    <pivotField showAll="0">
      <items count="3">
        <item x="1"/>
        <item x="0"/>
        <item t="default"/>
      </items>
    </pivotField>
    <pivotField numFmtId="14" showAll="0">
      <items count="104">
        <item x="63"/>
        <item x="56"/>
        <item x="43"/>
        <item x="14"/>
        <item x="79"/>
        <item x="53"/>
        <item x="41"/>
        <item x="30"/>
        <item x="42"/>
        <item x="71"/>
        <item x="19"/>
        <item x="59"/>
        <item x="83"/>
        <item x="69"/>
        <item x="11"/>
        <item x="97"/>
        <item x="86"/>
        <item x="66"/>
        <item x="15"/>
        <item x="92"/>
        <item x="12"/>
        <item x="40"/>
        <item x="33"/>
        <item x="54"/>
        <item x="32"/>
        <item x="39"/>
        <item x="68"/>
        <item x="93"/>
        <item x="10"/>
        <item x="50"/>
        <item x="67"/>
        <item x="94"/>
        <item x="81"/>
        <item x="36"/>
        <item x="37"/>
        <item x="90"/>
        <item x="48"/>
        <item x="78"/>
        <item x="89"/>
        <item x="51"/>
        <item x="52"/>
        <item x="84"/>
        <item x="3"/>
        <item x="24"/>
        <item x="16"/>
        <item x="64"/>
        <item x="0"/>
        <item x="102"/>
        <item x="88"/>
        <item x="27"/>
        <item x="96"/>
        <item x="85"/>
        <item x="25"/>
        <item x="18"/>
        <item x="72"/>
        <item x="57"/>
        <item x="28"/>
        <item x="7"/>
        <item x="46"/>
        <item x="99"/>
        <item x="95"/>
        <item x="29"/>
        <item x="13"/>
        <item x="77"/>
        <item x="75"/>
        <item x="62"/>
        <item x="5"/>
        <item x="9"/>
        <item x="6"/>
        <item x="60"/>
        <item x="65"/>
        <item x="76"/>
        <item x="45"/>
        <item x="34"/>
        <item x="101"/>
        <item x="8"/>
        <item x="31"/>
        <item x="87"/>
        <item x="38"/>
        <item x="22"/>
        <item x="49"/>
        <item x="80"/>
        <item x="1"/>
        <item x="2"/>
        <item x="98"/>
        <item x="91"/>
        <item x="74"/>
        <item x="20"/>
        <item x="35"/>
        <item x="58"/>
        <item x="23"/>
        <item x="21"/>
        <item x="4"/>
        <item x="61"/>
        <item x="70"/>
        <item x="73"/>
        <item x="17"/>
        <item x="100"/>
        <item x="26"/>
        <item x="55"/>
        <item x="82"/>
        <item x="47"/>
        <item x="44"/>
        <item t="default"/>
      </items>
    </pivotField>
    <pivotField showAll="0"/>
    <pivotField showAll="0"/>
    <pivotField axis="axisRow" showAll="0">
      <items count="3">
        <item x="1"/>
        <item x="0"/>
        <item t="default"/>
      </items>
    </pivotField>
    <pivotField showAll="0"/>
    <pivotField numFmtId="14" showAll="0"/>
    <pivotField showAll="0"/>
    <pivotField numFmtId="9" showAll="0"/>
    <pivotField showAll="0">
      <items count="12">
        <item x="10"/>
        <item x="9"/>
        <item x="8"/>
        <item x="6"/>
        <item x="1"/>
        <item x="4"/>
        <item x="7"/>
        <item x="0"/>
        <item x="5"/>
        <item x="2"/>
        <item x="3"/>
        <item t="default"/>
      </items>
    </pivotField>
    <pivotField showAll="0">
      <items count="8">
        <item x="6"/>
        <item x="3"/>
        <item x="5"/>
        <item x="4"/>
        <item x="0"/>
        <item x="2"/>
        <item x="1"/>
        <item t="default"/>
      </items>
    </pivotField>
    <pivotField showAll="0"/>
    <pivotField numFmtId="44" showAll="0"/>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ragToRow="0" dragToCol="0" dragToPage="0" showAll="0" defaultSubtotal="0"/>
  </pivotFields>
  <rowFields count="1">
    <field x="7"/>
  </rowFields>
  <rowItems count="3">
    <i>
      <x/>
    </i>
    <i>
      <x v="1"/>
    </i>
    <i t="grand">
      <x/>
    </i>
  </rowItems>
  <colItems count="1">
    <i/>
  </colItems>
  <dataFields count="1">
    <dataField name="Count of Nama Karyawan" fld="1" subtotal="count" baseField="7" baseItem="0"/>
  </dataFields>
  <formats count="14">
    <format dxfId="623">
      <pivotArea type="all" dataOnly="0" outline="0" fieldPosition="0"/>
    </format>
    <format dxfId="624">
      <pivotArea outline="0" collapsedLevelsAreSubtotals="1" fieldPosition="0"/>
    </format>
    <format dxfId="625">
      <pivotArea field="7" type="button" dataOnly="0" labelOnly="1" outline="0" axis="axisRow" fieldPosition="0"/>
    </format>
    <format dxfId="626">
      <pivotArea dataOnly="0" labelOnly="1" fieldPosition="0">
        <references count="1">
          <reference field="7" count="0"/>
        </references>
      </pivotArea>
    </format>
    <format dxfId="627">
      <pivotArea dataOnly="0" labelOnly="1" grandRow="1" outline="0" fieldPosition="0"/>
    </format>
    <format dxfId="628">
      <pivotArea dataOnly="0" labelOnly="1" outline="0" axis="axisValues" fieldPosition="0"/>
    </format>
    <format dxfId="9">
      <pivotArea grandRow="1" outline="0" collapsedLevelsAreSubtotals="1" fieldPosition="0"/>
    </format>
    <format dxfId="8">
      <pivotArea dataOnly="0" labelOnly="1" grandRow="1" outline="0" fieldPosition="0"/>
    </format>
    <format dxfId="7">
      <pivotArea grandRow="1" outline="0" collapsedLevelsAreSubtotals="1" fieldPosition="0"/>
    </format>
    <format dxfId="6">
      <pivotArea dataOnly="0" labelOnly="1" grandRow="1" outline="0" fieldPosition="0"/>
    </format>
    <format dxfId="5">
      <pivotArea field="7" type="button" dataOnly="0" labelOnly="1" outline="0" axis="axisRow" fieldPosition="0"/>
    </format>
    <format dxfId="4">
      <pivotArea dataOnly="0" labelOnly="1" outline="0" axis="axisValues" fieldPosition="0"/>
    </format>
    <format dxfId="2">
      <pivotArea field="7" type="button" dataOnly="0" labelOnly="1" outline="0" axis="axisRow" fieldPosition="0"/>
    </format>
    <format dxfId="1">
      <pivotArea dataOnly="0" labelOnly="1" outline="0" axis="axisValues" fieldPosition="0"/>
    </format>
  </formats>
  <chartFormats count="6">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7" count="1" selected="0">
            <x v="0"/>
          </reference>
        </references>
      </pivotArea>
    </chartFormat>
    <chartFormat chart="9" format="6">
      <pivotArea type="data" outline="0" fieldPosition="0">
        <references count="2">
          <reference field="4294967294" count="1" selected="0">
            <x v="0"/>
          </reference>
          <reference field="7"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 xr10:uid="{0F50AA76-99A6-4051-AFCC-EE9A51FCFB91}" sourceName="Base">
  <pivotTables>
    <pivotTable tabId="10" name="Historical Karyawan by Year"/>
    <pivotTable tabId="10" name="Distribusi Karyawan by Jenis Kelamin"/>
    <pivotTable tabId="10" name="Kontribusi Gaji by Jabatan"/>
    <pivotTable tabId="10" name="Total Bonus by Jabatan"/>
    <pivotTable tabId="10" name="Total Karyawan by Base"/>
    <pivotTable tabId="10" name="Total Karyawan by Divisi"/>
    <pivotTable tabId="10" name="Total Karyawan by Jabatan"/>
    <pivotTable tabId="10" name="PivotTable3"/>
    <pivotTable tabId="10" name="PivotTable4"/>
    <pivotTable tabId="10" name="PivotTable5"/>
    <pivotTable tabId="10" name="PivotTable6"/>
  </pivotTables>
  <data>
    <tabular pivotCacheId="1159237500">
      <items count="6">
        <i x="2" s="1"/>
        <i x="4" s="1"/>
        <i x="0"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 xr10:uid="{4010ED24-B004-4282-BDB3-EDB8AC953037}" sourceName="Divisi">
  <pivotTables>
    <pivotTable tabId="10" name="Historical Karyawan by Year"/>
    <pivotTable tabId="10" name="Distribusi Karyawan by Jenis Kelamin"/>
    <pivotTable tabId="10" name="Total Bonus by Jabatan"/>
    <pivotTable tabId="10" name="Total Karyawan by Base"/>
    <pivotTable tabId="10" name="Total Karyawan by Divisi"/>
    <pivotTable tabId="10" name="Total Karyawan by Jabatan"/>
    <pivotTable tabId="10" name="Kontribusi Gaji by Jabatan"/>
    <pivotTable tabId="10" name="PivotTable3"/>
    <pivotTable tabId="10" name="PivotTable4"/>
    <pivotTable tabId="10" name="PivotTable5"/>
    <pivotTable tabId="10" name="PivotTable6"/>
  </pivotTables>
  <data>
    <tabular pivotCacheId="1159237500">
      <items count="11">
        <i x="10" s="1"/>
        <i x="9" s="1"/>
        <i x="8" s="1"/>
        <i x="6" s="1"/>
        <i x="1" s="1"/>
        <i x="4" s="1"/>
        <i x="7" s="1"/>
        <i x="0" s="1"/>
        <i x="5"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batan" xr10:uid="{E1C6C470-6676-484E-8A50-62BD62A54548}" sourceName="Jabatan">
  <pivotTables>
    <pivotTable tabId="10" name="Historical Karyawan by Year"/>
    <pivotTable tabId="10" name="Distribusi Karyawan by Jenis Kelamin"/>
    <pivotTable tabId="10" name="Kontribusi Gaji by Jabatan"/>
    <pivotTable tabId="10" name="Total Bonus by Jabatan"/>
    <pivotTable tabId="10" name="Total Karyawan by Base"/>
    <pivotTable tabId="10" name="Total Karyawan by Divisi"/>
    <pivotTable tabId="10" name="Total Karyawan by Jabatan"/>
    <pivotTable tabId="10" name="PivotTable3"/>
    <pivotTable tabId="10" name="PivotTable4"/>
    <pivotTable tabId="10" name="PivotTable5"/>
    <pivotTable tabId="10" name="PivotTable6"/>
  </pivotTables>
  <data>
    <tabular pivotCacheId="1159237500">
      <items count="7">
        <i x="6" s="1"/>
        <i x="3" s="1"/>
        <i x="5" s="1"/>
        <i x="4"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e_Karyawan" xr10:uid="{AA9FDC40-51CE-4429-8BFE-CE4B66D5E80F}" sourceName="Tipe Karyawan">
  <pivotTables>
    <pivotTable tabId="10" name="Historical Karyawan by Year"/>
    <pivotTable tabId="10" name="Distribusi Karyawan by Jenis Kelamin"/>
    <pivotTable tabId="10" name="Kontribusi Gaji by Jabatan"/>
    <pivotTable tabId="10" name="Total Karyawan by Divisi"/>
    <pivotTable tabId="10" name="Total Bonus by Jabatan"/>
    <pivotTable tabId="10" name="Total Karyawan by Base"/>
    <pivotTable tabId="10" name="Total Karyawan by Jabatan"/>
    <pivotTable tabId="10" name="PivotTable3"/>
    <pivotTable tabId="10" name="PivotTable4"/>
    <pivotTable tabId="10" name="PivotTable5"/>
    <pivotTable tabId="10" name="PivotTable6"/>
  </pivotTables>
  <data>
    <tabular pivotCacheId="11592375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se" xr10:uid="{A86F0ECB-840B-46C4-BE1A-6EFDA83DA136}" cache="Slicer_Base" caption="Base" style="Slicer Style 1 2" rowHeight="234950"/>
  <slicer name="Divisi" xr10:uid="{D344CDAF-5BD0-4A35-9D6E-2B5EED25DE11}" cache="Slicer_Divisi" caption="Divisi" style="Slicer Style 1 2" rowHeight="234950"/>
  <slicer name="Jabatan" xr10:uid="{B21A9E5D-D81F-47EE-BAFD-BD7326B4DC6E}" cache="Slicer_Jabatan" caption="Jabatan" style="Slicer Style 1 2" rowHeight="234950"/>
  <slicer name="Tipe Karyawan" xr10:uid="{897E8EFD-56E2-4C35-9985-2C46BD975B04}" cache="Slicer_Tipe_Karyawan" caption="Tipe Karyawan" style="Slicer Style 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8BEA2-3DDE-431B-B6AE-7C50AF3D61DF}">
  <sheetPr codeName="Sheet1">
    <tabColor theme="1"/>
  </sheetPr>
  <dimension ref="A1:R136"/>
  <sheetViews>
    <sheetView tabSelected="1" zoomScale="80" zoomScaleNormal="80" workbookViewId="0"/>
  </sheetViews>
  <sheetFormatPr defaultColWidth="8.77734375" defaultRowHeight="14.4" x14ac:dyDescent="0.3"/>
  <cols>
    <col min="1" max="1" width="6.33203125" style="4" bestFit="1" customWidth="1"/>
    <col min="2" max="2" width="20.44140625" style="4" bestFit="1" customWidth="1"/>
    <col min="3" max="3" width="10.21875" style="4" bestFit="1" customWidth="1"/>
    <col min="4" max="4" width="14.6640625" style="4" bestFit="1" customWidth="1"/>
    <col min="5" max="5" width="13" style="4" bestFit="1" customWidth="1"/>
    <col min="6" max="6" width="7.109375" style="4" bestFit="1" customWidth="1"/>
    <col min="7" max="7" width="17.88671875" style="4" bestFit="1" customWidth="1"/>
    <col min="8" max="8" width="12.88671875" style="4" bestFit="1" customWidth="1"/>
    <col min="9" max="9" width="17.21875" style="4" bestFit="1" customWidth="1"/>
    <col min="10" max="10" width="12.109375" style="4" bestFit="1" customWidth="1"/>
    <col min="11" max="11" width="4.6640625" style="4" bestFit="1" customWidth="1"/>
    <col min="12" max="12" width="15.44140625" style="4" bestFit="1" customWidth="1"/>
    <col min="13" max="13" width="16.33203125" style="4" bestFit="1" customWidth="1"/>
    <col min="14" max="14" width="15.77734375" style="4" bestFit="1" customWidth="1"/>
    <col min="15" max="15" width="12.33203125" style="4" bestFit="1" customWidth="1"/>
    <col min="16" max="17" width="16.109375" style="4" bestFit="1" customWidth="1"/>
    <col min="18" max="16384" width="8.77734375" style="4"/>
  </cols>
  <sheetData>
    <row r="1" spans="1:18" x14ac:dyDescent="0.3">
      <c r="A1" s="16" t="s">
        <v>2</v>
      </c>
      <c r="B1" s="16" t="s">
        <v>3</v>
      </c>
      <c r="C1" s="16" t="s">
        <v>1</v>
      </c>
      <c r="D1" s="16" t="s">
        <v>4</v>
      </c>
      <c r="E1" s="16" t="s">
        <v>5</v>
      </c>
      <c r="F1" s="16" t="s">
        <v>8</v>
      </c>
      <c r="G1" s="16" t="s">
        <v>342</v>
      </c>
      <c r="H1" s="16" t="s">
        <v>9</v>
      </c>
      <c r="I1" s="16" t="s">
        <v>10</v>
      </c>
      <c r="J1" s="16" t="s">
        <v>11</v>
      </c>
      <c r="K1" s="16" t="s">
        <v>347</v>
      </c>
      <c r="L1" s="16" t="s">
        <v>326</v>
      </c>
      <c r="M1" s="16" t="s">
        <v>7</v>
      </c>
      <c r="N1" s="16" t="s">
        <v>6</v>
      </c>
      <c r="O1" s="16" t="s">
        <v>329</v>
      </c>
      <c r="P1" s="16" t="s">
        <v>330</v>
      </c>
      <c r="Q1" s="16" t="s">
        <v>343</v>
      </c>
      <c r="R1" s="7"/>
    </row>
    <row r="2" spans="1:18" x14ac:dyDescent="0.3">
      <c r="A2" s="17" t="s">
        <v>12</v>
      </c>
      <c r="B2" s="17" t="s">
        <v>13</v>
      </c>
      <c r="C2" s="17" t="s">
        <v>14</v>
      </c>
      <c r="D2" s="17" t="s">
        <v>15</v>
      </c>
      <c r="E2" s="18">
        <v>42920</v>
      </c>
      <c r="F2" s="17" t="s">
        <v>18</v>
      </c>
      <c r="G2" s="17" t="s">
        <v>327</v>
      </c>
      <c r="H2" s="17" t="str">
        <f>IFERROR(_xlfn.XLOOKUP(G2,'Master Gender'!$B$2:$B$3,'Master Gender'!$A$2:$A$3),"")</f>
        <v>Perempuan</v>
      </c>
      <c r="I2" s="17" t="s">
        <v>20</v>
      </c>
      <c r="J2" s="19">
        <v>32089</v>
      </c>
      <c r="K2" s="17">
        <f>DATEDIF(J2,DATE(2025,12,31),"Y")</f>
        <v>38</v>
      </c>
      <c r="L2" s="20">
        <v>0.99</v>
      </c>
      <c r="M2" s="17" t="str">
        <f>IFERROR(_xlfn.XLOOKUP(A2,'Master Position'!$B$2:$B$124,'Master Position'!$A$2:$A$124),"")</f>
        <v>Marketing</v>
      </c>
      <c r="N2" s="17" t="str">
        <f>IFERROR(_xlfn.XLOOKUP(A2,'Master Position'!$B$2:$B$124,'Master Position'!$C$2:$C$124),"")</f>
        <v>Senior Staff</v>
      </c>
      <c r="O2" s="17" t="str">
        <f>IFERROR(_xlfn.XLOOKUP(N2,'Master Salary'!$B$2:$B$8,'Master Salary'!$A$2:$A$8),"")</f>
        <v>SS</v>
      </c>
      <c r="P2" s="21">
        <f>IFERROR(_xlfn.XLOOKUP(N2,'Master Salary'!$B$2:$B$8,'Master Salary'!$C$2:$C$8),"")</f>
        <v>5000000</v>
      </c>
      <c r="Q2" s="21">
        <f>IFERROR(IF(L2&gt;90%,P2*_xlfn.XLOOKUP(N2,'Master Bonus'!$A$3:$A$9,'Master Bonus'!$B$3:$B$9),0),"")</f>
        <v>5000000</v>
      </c>
    </row>
    <row r="3" spans="1:18" x14ac:dyDescent="0.3">
      <c r="A3" s="17" t="s">
        <v>21</v>
      </c>
      <c r="B3" s="17" t="s">
        <v>22</v>
      </c>
      <c r="C3" s="17" t="s">
        <v>14</v>
      </c>
      <c r="D3" s="17" t="s">
        <v>15</v>
      </c>
      <c r="E3" s="18">
        <v>44417</v>
      </c>
      <c r="F3" s="17" t="s">
        <v>23</v>
      </c>
      <c r="G3" s="17" t="s">
        <v>327</v>
      </c>
      <c r="H3" s="17" t="str">
        <f>IFERROR(_xlfn.XLOOKUP(G3,'Master Gender'!$B$2:$B$3,'Master Gender'!$A$2:$A$3),"")</f>
        <v>Perempuan</v>
      </c>
      <c r="I3" s="17" t="s">
        <v>24</v>
      </c>
      <c r="J3" s="19">
        <v>33712</v>
      </c>
      <c r="K3" s="17">
        <f t="shared" ref="K3:K65" si="0">DATEDIF(J3,DATE(2025,12,31),"Y")</f>
        <v>33</v>
      </c>
      <c r="L3" s="20">
        <v>0.77</v>
      </c>
      <c r="M3" s="17" t="str">
        <f>IFERROR(_xlfn.XLOOKUP(A3,'Master Position'!$B$2:$B$124,'Master Position'!$A$2:$A$124),"")</f>
        <v>Marketing</v>
      </c>
      <c r="N3" s="17" t="str">
        <f>IFERROR(_xlfn.XLOOKUP(A3,'Master Position'!$B$2:$B$124,'Master Position'!$C$2:$C$124),"")</f>
        <v>Senior Staff</v>
      </c>
      <c r="O3" s="17" t="str">
        <f>IFERROR(_xlfn.XLOOKUP(N3,'Master Salary'!$B$2:$B$8,'Master Salary'!$A$2:$A$8),"")</f>
        <v>SS</v>
      </c>
      <c r="P3" s="21">
        <f>IFERROR(_xlfn.XLOOKUP(N3,'Master Salary'!$B$2:$B$8,'Master Salary'!$C$2:$C$8),"")</f>
        <v>5000000</v>
      </c>
      <c r="Q3" s="21">
        <f>IFERROR(IF(L3&gt;90%,P3*_xlfn.XLOOKUP(N3,'Master Bonus'!$A$3:$A$9,'Master Bonus'!$B$3:$B$9),0),"")</f>
        <v>0</v>
      </c>
    </row>
    <row r="4" spans="1:18" x14ac:dyDescent="0.3">
      <c r="A4" s="17" t="s">
        <v>25</v>
      </c>
      <c r="B4" s="17" t="s">
        <v>26</v>
      </c>
      <c r="C4" s="17" t="s">
        <v>14</v>
      </c>
      <c r="D4" s="17" t="s">
        <v>27</v>
      </c>
      <c r="E4" s="18">
        <v>44424</v>
      </c>
      <c r="F4" s="17" t="s">
        <v>23</v>
      </c>
      <c r="G4" s="17" t="s">
        <v>327</v>
      </c>
      <c r="H4" s="17" t="str">
        <f>IFERROR(_xlfn.XLOOKUP(G4,'Master Gender'!$B$2:$B$3,'Master Gender'!$A$2:$A$3),"")</f>
        <v>Perempuan</v>
      </c>
      <c r="I4" s="17" t="s">
        <v>29</v>
      </c>
      <c r="J4" s="19">
        <v>34768</v>
      </c>
      <c r="K4" s="17">
        <f t="shared" si="0"/>
        <v>30</v>
      </c>
      <c r="L4" s="20">
        <v>0.7</v>
      </c>
      <c r="M4" s="17" t="str">
        <f>IFERROR(_xlfn.XLOOKUP(A4,'Master Position'!$B$2:$B$124,'Master Position'!$A$2:$A$124),"")</f>
        <v>Marketing</v>
      </c>
      <c r="N4" s="17" t="str">
        <f>IFERROR(_xlfn.XLOOKUP(A4,'Master Position'!$B$2:$B$124,'Master Position'!$C$2:$C$124),"")</f>
        <v>Supervisor</v>
      </c>
      <c r="O4" s="17" t="str">
        <f>IFERROR(_xlfn.XLOOKUP(N4,'Master Salary'!$B$2:$B$8,'Master Salary'!$A$2:$A$8),"")</f>
        <v>SP</v>
      </c>
      <c r="P4" s="21">
        <f>IFERROR(_xlfn.XLOOKUP(N4,'Master Salary'!$B$2:$B$8,'Master Salary'!$C$2:$C$8),"")</f>
        <v>7000000</v>
      </c>
      <c r="Q4" s="21">
        <f>IFERROR(IF(L4&gt;90%,P4*_xlfn.XLOOKUP(N4,'Master Bonus'!$A$3:$A$9,'Master Bonus'!$B$3:$B$9),0),"")</f>
        <v>0</v>
      </c>
    </row>
    <row r="5" spans="1:18" x14ac:dyDescent="0.3">
      <c r="A5" s="17" t="s">
        <v>30</v>
      </c>
      <c r="B5" s="17" t="s">
        <v>31</v>
      </c>
      <c r="C5" s="17" t="s">
        <v>14</v>
      </c>
      <c r="D5" s="17" t="s">
        <v>15</v>
      </c>
      <c r="E5" s="18">
        <v>42800</v>
      </c>
      <c r="F5" s="17" t="s">
        <v>23</v>
      </c>
      <c r="G5" s="17" t="s">
        <v>327</v>
      </c>
      <c r="H5" s="17" t="str">
        <f>IFERROR(_xlfn.XLOOKUP(G5,'Master Gender'!$B$2:$B$3,'Master Gender'!$A$2:$A$3),"")</f>
        <v>Perempuan</v>
      </c>
      <c r="I5" s="17" t="s">
        <v>14</v>
      </c>
      <c r="J5" s="19">
        <v>33569</v>
      </c>
      <c r="K5" s="17">
        <f t="shared" si="0"/>
        <v>34</v>
      </c>
      <c r="L5" s="20">
        <v>0.6</v>
      </c>
      <c r="M5" s="17" t="str">
        <f>IFERROR(_xlfn.XLOOKUP(A5,'Master Position'!$B$2:$B$124,'Master Position'!$A$2:$A$124),"")</f>
        <v>Finance</v>
      </c>
      <c r="N5" s="17" t="str">
        <f>IFERROR(_xlfn.XLOOKUP(A5,'Master Position'!$B$2:$B$124,'Master Position'!$C$2:$C$124),"")</f>
        <v>Staff</v>
      </c>
      <c r="O5" s="17" t="str">
        <f>IFERROR(_xlfn.XLOOKUP(N5,'Master Salary'!$B$2:$B$8,'Master Salary'!$A$2:$A$8),"")</f>
        <v>ST</v>
      </c>
      <c r="P5" s="21">
        <f>IFERROR(_xlfn.XLOOKUP(N5,'Master Salary'!$B$2:$B$8,'Master Salary'!$C$2:$C$8),"")</f>
        <v>4000000</v>
      </c>
      <c r="Q5" s="21">
        <f>IFERROR(IF(L5&gt;90%,P5*_xlfn.XLOOKUP(N5,'Master Bonus'!$A$3:$A$9,'Master Bonus'!$B$3:$B$9),0),"")</f>
        <v>0</v>
      </c>
    </row>
    <row r="6" spans="1:18" x14ac:dyDescent="0.3">
      <c r="A6" s="17" t="s">
        <v>34</v>
      </c>
      <c r="B6" s="17" t="s">
        <v>35</v>
      </c>
      <c r="C6" s="17" t="s">
        <v>14</v>
      </c>
      <c r="D6" s="17" t="s">
        <v>27</v>
      </c>
      <c r="E6" s="18">
        <v>44718</v>
      </c>
      <c r="F6" s="17" t="s">
        <v>18</v>
      </c>
      <c r="G6" s="17" t="s">
        <v>328</v>
      </c>
      <c r="H6" s="17" t="str">
        <f>IFERROR(_xlfn.XLOOKUP(G6,'Master Gender'!$B$2:$B$3,'Master Gender'!$A$2:$A$3),"")</f>
        <v>Laki-Laki</v>
      </c>
      <c r="I6" s="17" t="s">
        <v>37</v>
      </c>
      <c r="J6" s="19">
        <v>35196</v>
      </c>
      <c r="K6" s="17">
        <f t="shared" si="0"/>
        <v>29</v>
      </c>
      <c r="L6" s="20">
        <v>0.7</v>
      </c>
      <c r="M6" s="17" t="str">
        <f>IFERROR(_xlfn.XLOOKUP(A6,'Master Position'!$B$2:$B$124,'Master Position'!$A$2:$A$124),"")</f>
        <v>Finance</v>
      </c>
      <c r="N6" s="17" t="str">
        <f>IFERROR(_xlfn.XLOOKUP(A6,'Master Position'!$B$2:$B$124,'Master Position'!$C$2:$C$124),"")</f>
        <v>General Manager</v>
      </c>
      <c r="O6" s="17" t="str">
        <f>IFERROR(_xlfn.XLOOKUP(N6,'Master Salary'!$B$2:$B$8,'Master Salary'!$A$2:$A$8),"")</f>
        <v>GM</v>
      </c>
      <c r="P6" s="21">
        <f>IFERROR(_xlfn.XLOOKUP(N6,'Master Salary'!$B$2:$B$8,'Master Salary'!$C$2:$C$8),"")</f>
        <v>25000000</v>
      </c>
      <c r="Q6" s="21">
        <f>IFERROR(IF(L6&gt;90%,P6*_xlfn.XLOOKUP(N6,'Master Bonus'!$A$3:$A$9,'Master Bonus'!$B$3:$B$9),0),"")</f>
        <v>0</v>
      </c>
    </row>
    <row r="7" spans="1:18" x14ac:dyDescent="0.3">
      <c r="A7" s="17" t="s">
        <v>38</v>
      </c>
      <c r="B7" s="17" t="s">
        <v>39</v>
      </c>
      <c r="C7" s="17" t="s">
        <v>14</v>
      </c>
      <c r="D7" s="17" t="s">
        <v>15</v>
      </c>
      <c r="E7" s="18">
        <v>43479</v>
      </c>
      <c r="F7" s="17" t="s">
        <v>23</v>
      </c>
      <c r="G7" s="17" t="s">
        <v>328</v>
      </c>
      <c r="H7" s="17" t="str">
        <f>IFERROR(_xlfn.XLOOKUP(G7,'Master Gender'!$B$2:$B$3,'Master Gender'!$A$2:$A$3),"")</f>
        <v>Laki-Laki</v>
      </c>
      <c r="I7" s="17" t="s">
        <v>14</v>
      </c>
      <c r="J7" s="19">
        <v>34307</v>
      </c>
      <c r="K7" s="17">
        <f t="shared" si="0"/>
        <v>32</v>
      </c>
      <c r="L7" s="20">
        <v>0.67</v>
      </c>
      <c r="M7" s="17" t="str">
        <f>IFERROR(_xlfn.XLOOKUP(A7,'Master Position'!$B$2:$B$124,'Master Position'!$A$2:$A$124),"")</f>
        <v>Finance</v>
      </c>
      <c r="N7" s="17" t="str">
        <f>IFERROR(_xlfn.XLOOKUP(A7,'Master Position'!$B$2:$B$124,'Master Position'!$C$2:$C$124),"")</f>
        <v>Staff</v>
      </c>
      <c r="O7" s="17" t="str">
        <f>IFERROR(_xlfn.XLOOKUP(N7,'Master Salary'!$B$2:$B$8,'Master Salary'!$A$2:$A$8),"")</f>
        <v>ST</v>
      </c>
      <c r="P7" s="21">
        <f>IFERROR(_xlfn.XLOOKUP(N7,'Master Salary'!$B$2:$B$8,'Master Salary'!$C$2:$C$8),"")</f>
        <v>4000000</v>
      </c>
      <c r="Q7" s="21">
        <f>IFERROR(IF(L7&gt;90%,P7*_xlfn.XLOOKUP(N7,'Master Bonus'!$A$3:$A$9,'Master Bonus'!$B$3:$B$9),0),"")</f>
        <v>0</v>
      </c>
    </row>
    <row r="8" spans="1:18" x14ac:dyDescent="0.3">
      <c r="A8" s="17" t="s">
        <v>40</v>
      </c>
      <c r="B8" s="17" t="s">
        <v>41</v>
      </c>
      <c r="C8" s="17" t="s">
        <v>14</v>
      </c>
      <c r="D8" s="17" t="s">
        <v>27</v>
      </c>
      <c r="E8" s="18">
        <v>43577</v>
      </c>
      <c r="F8" s="17" t="s">
        <v>23</v>
      </c>
      <c r="G8" s="17" t="s">
        <v>328</v>
      </c>
      <c r="H8" s="17" t="str">
        <f>IFERROR(_xlfn.XLOOKUP(G8,'Master Gender'!$B$2:$B$3,'Master Gender'!$A$2:$A$3),"")</f>
        <v>Laki-Laki</v>
      </c>
      <c r="I8" s="17" t="s">
        <v>43</v>
      </c>
      <c r="J8" s="19">
        <v>34600</v>
      </c>
      <c r="K8" s="17">
        <f t="shared" si="0"/>
        <v>31</v>
      </c>
      <c r="L8" s="20">
        <v>0.63</v>
      </c>
      <c r="M8" s="17" t="str">
        <f>IFERROR(_xlfn.XLOOKUP(A8,'Master Position'!$B$2:$B$124,'Master Position'!$A$2:$A$124),"")</f>
        <v>Finance</v>
      </c>
      <c r="N8" s="17" t="str">
        <f>IFERROR(_xlfn.XLOOKUP(A8,'Master Position'!$B$2:$B$124,'Master Position'!$C$2:$C$124),"")</f>
        <v>Senior Manager</v>
      </c>
      <c r="O8" s="17" t="str">
        <f>IFERROR(_xlfn.XLOOKUP(N8,'Master Salary'!$B$2:$B$8,'Master Salary'!$A$2:$A$8),"")</f>
        <v>SM</v>
      </c>
      <c r="P8" s="21">
        <f>IFERROR(_xlfn.XLOOKUP(N8,'Master Salary'!$B$2:$B$8,'Master Salary'!$C$2:$C$8),"")</f>
        <v>18000000</v>
      </c>
      <c r="Q8" s="21">
        <f>IFERROR(IF(L8&gt;90%,P8*_xlfn.XLOOKUP(N8,'Master Bonus'!$A$3:$A$9,'Master Bonus'!$B$3:$B$9),0),"")</f>
        <v>0</v>
      </c>
    </row>
    <row r="9" spans="1:18" x14ac:dyDescent="0.3">
      <c r="A9" s="17" t="s">
        <v>44</v>
      </c>
      <c r="B9" s="17" t="s">
        <v>45</v>
      </c>
      <c r="C9" s="17" t="s">
        <v>14</v>
      </c>
      <c r="D9" s="17" t="s">
        <v>27</v>
      </c>
      <c r="E9" s="18">
        <v>43276</v>
      </c>
      <c r="F9" s="17" t="s">
        <v>23</v>
      </c>
      <c r="G9" s="17" t="s">
        <v>327</v>
      </c>
      <c r="H9" s="17" t="str">
        <f>IFERROR(_xlfn.XLOOKUP(G9,'Master Gender'!$B$2:$B$3,'Master Gender'!$A$2:$A$3),"")</f>
        <v>Perempuan</v>
      </c>
      <c r="I9" s="17" t="s">
        <v>46</v>
      </c>
      <c r="J9" s="19">
        <v>34317</v>
      </c>
      <c r="K9" s="17">
        <f t="shared" si="0"/>
        <v>32</v>
      </c>
      <c r="L9" s="20">
        <v>0.79</v>
      </c>
      <c r="M9" s="17" t="str">
        <f>IFERROR(_xlfn.XLOOKUP(A9,'Master Position'!$B$2:$B$124,'Master Position'!$A$2:$A$124),"")</f>
        <v>Finance</v>
      </c>
      <c r="N9" s="17" t="str">
        <f>IFERROR(_xlfn.XLOOKUP(A9,'Master Position'!$B$2:$B$124,'Master Position'!$C$2:$C$124),"")</f>
        <v>Staff</v>
      </c>
      <c r="O9" s="17" t="str">
        <f>IFERROR(_xlfn.XLOOKUP(N9,'Master Salary'!$B$2:$B$8,'Master Salary'!$A$2:$A$8),"")</f>
        <v>ST</v>
      </c>
      <c r="P9" s="21">
        <f>IFERROR(_xlfn.XLOOKUP(N9,'Master Salary'!$B$2:$B$8,'Master Salary'!$C$2:$C$8),"")</f>
        <v>4000000</v>
      </c>
      <c r="Q9" s="21">
        <f>IFERROR(IF(L9&gt;90%,P9*_xlfn.XLOOKUP(N9,'Master Bonus'!$A$3:$A$9,'Master Bonus'!$B$3:$B$9),0),"")</f>
        <v>0</v>
      </c>
    </row>
    <row r="10" spans="1:18" x14ac:dyDescent="0.3">
      <c r="A10" s="17" t="s">
        <v>47</v>
      </c>
      <c r="B10" s="17" t="s">
        <v>48</v>
      </c>
      <c r="C10" s="17" t="s">
        <v>14</v>
      </c>
      <c r="D10" s="17" t="s">
        <v>27</v>
      </c>
      <c r="E10" s="18">
        <v>43801</v>
      </c>
      <c r="F10" s="17" t="s">
        <v>23</v>
      </c>
      <c r="G10" s="17" t="s">
        <v>328</v>
      </c>
      <c r="H10" s="17" t="str">
        <f>IFERROR(_xlfn.XLOOKUP(G10,'Master Gender'!$B$2:$B$3,'Master Gender'!$A$2:$A$3),"")</f>
        <v>Laki-Laki</v>
      </c>
      <c r="I10" s="17" t="s">
        <v>14</v>
      </c>
      <c r="J10" s="19">
        <v>34428</v>
      </c>
      <c r="K10" s="17">
        <f t="shared" si="0"/>
        <v>31</v>
      </c>
      <c r="L10" s="20">
        <v>0.94</v>
      </c>
      <c r="M10" s="17" t="str">
        <f>IFERROR(_xlfn.XLOOKUP(A10,'Master Position'!$B$2:$B$124,'Master Position'!$A$2:$A$124),"")</f>
        <v>Marketing</v>
      </c>
      <c r="N10" s="17" t="str">
        <f>IFERROR(_xlfn.XLOOKUP(A10,'Master Position'!$B$2:$B$124,'Master Position'!$C$2:$C$124),"")</f>
        <v>Senior Manager</v>
      </c>
      <c r="O10" s="17" t="str">
        <f>IFERROR(_xlfn.XLOOKUP(N10,'Master Salary'!$B$2:$B$8,'Master Salary'!$A$2:$A$8),"")</f>
        <v>SM</v>
      </c>
      <c r="P10" s="21">
        <f>IFERROR(_xlfn.XLOOKUP(N10,'Master Salary'!$B$2:$B$8,'Master Salary'!$C$2:$C$8),"")</f>
        <v>18000000</v>
      </c>
      <c r="Q10" s="21">
        <f>IFERROR(IF(L10&gt;90%,P10*_xlfn.XLOOKUP(N10,'Master Bonus'!$A$3:$A$9,'Master Bonus'!$B$3:$B$9),0),"")</f>
        <v>36000000</v>
      </c>
    </row>
    <row r="11" spans="1:18" x14ac:dyDescent="0.3">
      <c r="A11" s="17" t="s">
        <v>49</v>
      </c>
      <c r="B11" s="17" t="s">
        <v>50</v>
      </c>
      <c r="C11" s="17" t="s">
        <v>14</v>
      </c>
      <c r="D11" s="17" t="s">
        <v>15</v>
      </c>
      <c r="E11" s="18">
        <v>43528</v>
      </c>
      <c r="F11" s="17" t="s">
        <v>23</v>
      </c>
      <c r="G11" s="17" t="s">
        <v>327</v>
      </c>
      <c r="H11" s="17" t="str">
        <f>IFERROR(_xlfn.XLOOKUP(G11,'Master Gender'!$B$2:$B$3,'Master Gender'!$A$2:$A$3),"")</f>
        <v>Perempuan</v>
      </c>
      <c r="I11" s="17" t="s">
        <v>24</v>
      </c>
      <c r="J11" s="19">
        <v>33189</v>
      </c>
      <c r="K11" s="17">
        <f t="shared" si="0"/>
        <v>35</v>
      </c>
      <c r="L11" s="20">
        <v>0.62</v>
      </c>
      <c r="M11" s="17" t="str">
        <f>IFERROR(_xlfn.XLOOKUP(A11,'Master Position'!$B$2:$B$124,'Master Position'!$A$2:$A$124),"")</f>
        <v>Production</v>
      </c>
      <c r="N11" s="17" t="str">
        <f>IFERROR(_xlfn.XLOOKUP(A11,'Master Position'!$B$2:$B$124,'Master Position'!$C$2:$C$124),"")</f>
        <v>Staff</v>
      </c>
      <c r="O11" s="17" t="str">
        <f>IFERROR(_xlfn.XLOOKUP(N11,'Master Salary'!$B$2:$B$8,'Master Salary'!$A$2:$A$8),"")</f>
        <v>ST</v>
      </c>
      <c r="P11" s="21">
        <f>IFERROR(_xlfn.XLOOKUP(N11,'Master Salary'!$B$2:$B$8,'Master Salary'!$C$2:$C$8),"")</f>
        <v>4000000</v>
      </c>
      <c r="Q11" s="21">
        <f>IFERROR(IF(L11&gt;90%,P11*_xlfn.XLOOKUP(N11,'Master Bonus'!$A$3:$A$9,'Master Bonus'!$B$3:$B$9),0),"")</f>
        <v>0</v>
      </c>
    </row>
    <row r="12" spans="1:18" x14ac:dyDescent="0.3">
      <c r="A12" s="17" t="s">
        <v>52</v>
      </c>
      <c r="B12" s="17" t="s">
        <v>53</v>
      </c>
      <c r="C12" s="17" t="s">
        <v>14</v>
      </c>
      <c r="D12" s="17" t="s">
        <v>15</v>
      </c>
      <c r="E12" s="18">
        <v>41792</v>
      </c>
      <c r="F12" s="17" t="s">
        <v>23</v>
      </c>
      <c r="G12" s="17" t="s">
        <v>328</v>
      </c>
      <c r="H12" s="17" t="str">
        <f>IFERROR(_xlfn.XLOOKUP(G12,'Master Gender'!$B$2:$B$3,'Master Gender'!$A$2:$A$3),"")</f>
        <v>Laki-Laki</v>
      </c>
      <c r="I12" s="17" t="s">
        <v>14</v>
      </c>
      <c r="J12" s="19">
        <v>32950</v>
      </c>
      <c r="K12" s="17">
        <f t="shared" si="0"/>
        <v>35</v>
      </c>
      <c r="L12" s="20">
        <v>0.69</v>
      </c>
      <c r="M12" s="17" t="str">
        <f>IFERROR(_xlfn.XLOOKUP(A12,'Master Position'!$B$2:$B$124,'Master Position'!$A$2:$A$124),"")</f>
        <v>Sales</v>
      </c>
      <c r="N12" s="17" t="str">
        <f>IFERROR(_xlfn.XLOOKUP(A12,'Master Position'!$B$2:$B$124,'Master Position'!$C$2:$C$124),"")</f>
        <v>Staff</v>
      </c>
      <c r="O12" s="17" t="str">
        <f>IFERROR(_xlfn.XLOOKUP(N12,'Master Salary'!$B$2:$B$8,'Master Salary'!$A$2:$A$8),"")</f>
        <v>ST</v>
      </c>
      <c r="P12" s="21">
        <f>IFERROR(_xlfn.XLOOKUP(N12,'Master Salary'!$B$2:$B$8,'Master Salary'!$C$2:$C$8),"")</f>
        <v>4000000</v>
      </c>
      <c r="Q12" s="21">
        <f>IFERROR(IF(L12&gt;90%,P12*_xlfn.XLOOKUP(N12,'Master Bonus'!$A$3:$A$9,'Master Bonus'!$B$3:$B$9),0),"")</f>
        <v>0</v>
      </c>
    </row>
    <row r="13" spans="1:18" x14ac:dyDescent="0.3">
      <c r="A13" s="17" t="s">
        <v>55</v>
      </c>
      <c r="B13" s="17" t="s">
        <v>56</v>
      </c>
      <c r="C13" s="17" t="s">
        <v>14</v>
      </c>
      <c r="D13" s="17" t="s">
        <v>27</v>
      </c>
      <c r="E13" s="18">
        <v>39295</v>
      </c>
      <c r="F13" s="17" t="s">
        <v>23</v>
      </c>
      <c r="G13" s="17" t="s">
        <v>328</v>
      </c>
      <c r="H13" s="17" t="str">
        <f>IFERROR(_xlfn.XLOOKUP(G13,'Master Gender'!$B$2:$B$3,'Master Gender'!$A$2:$A$3),"")</f>
        <v>Laki-Laki</v>
      </c>
      <c r="I13" s="17" t="s">
        <v>58</v>
      </c>
      <c r="J13" s="19">
        <v>28916</v>
      </c>
      <c r="K13" s="17">
        <f t="shared" si="0"/>
        <v>46</v>
      </c>
      <c r="L13" s="20">
        <v>0.84</v>
      </c>
      <c r="M13" s="17" t="str">
        <f>IFERROR(_xlfn.XLOOKUP(A13,'Master Position'!$B$2:$B$124,'Master Position'!$A$2:$A$124),"")</f>
        <v>Human Resources</v>
      </c>
      <c r="N13" s="17" t="str">
        <f>IFERROR(_xlfn.XLOOKUP(A13,'Master Position'!$B$2:$B$124,'Master Position'!$C$2:$C$124),"")</f>
        <v>Senior Staff</v>
      </c>
      <c r="O13" s="17" t="str">
        <f>IFERROR(_xlfn.XLOOKUP(N13,'Master Salary'!$B$2:$B$8,'Master Salary'!$A$2:$A$8),"")</f>
        <v>SS</v>
      </c>
      <c r="P13" s="21">
        <f>IFERROR(_xlfn.XLOOKUP(N13,'Master Salary'!$B$2:$B$8,'Master Salary'!$C$2:$C$8),"")</f>
        <v>5000000</v>
      </c>
      <c r="Q13" s="21">
        <f>IFERROR(IF(L13&gt;90%,P13*_xlfn.XLOOKUP(N13,'Master Bonus'!$A$3:$A$9,'Master Bonus'!$B$3:$B$9),0),"")</f>
        <v>0</v>
      </c>
    </row>
    <row r="14" spans="1:18" x14ac:dyDescent="0.3">
      <c r="A14" s="17" t="s">
        <v>59</v>
      </c>
      <c r="B14" s="17" t="s">
        <v>60</v>
      </c>
      <c r="C14" s="17" t="s">
        <v>14</v>
      </c>
      <c r="D14" s="17" t="s">
        <v>27</v>
      </c>
      <c r="E14" s="18">
        <v>40452</v>
      </c>
      <c r="F14" s="17" t="s">
        <v>23</v>
      </c>
      <c r="G14" s="17" t="s">
        <v>328</v>
      </c>
      <c r="H14" s="17" t="str">
        <f>IFERROR(_xlfn.XLOOKUP(G14,'Master Gender'!$B$2:$B$3,'Master Gender'!$A$2:$A$3),"")</f>
        <v>Laki-Laki</v>
      </c>
      <c r="I14" s="17" t="s">
        <v>14</v>
      </c>
      <c r="J14" s="19">
        <v>31291</v>
      </c>
      <c r="K14" s="17">
        <f t="shared" si="0"/>
        <v>40</v>
      </c>
      <c r="L14" s="20">
        <v>0.7</v>
      </c>
      <c r="M14" s="17" t="str">
        <f>IFERROR(_xlfn.XLOOKUP(A14,'Master Position'!$B$2:$B$124,'Master Position'!$A$2:$A$124),"")</f>
        <v>Finance</v>
      </c>
      <c r="N14" s="17" t="str">
        <f>IFERROR(_xlfn.XLOOKUP(A14,'Master Position'!$B$2:$B$124,'Master Position'!$C$2:$C$124),"")</f>
        <v>Supervisor</v>
      </c>
      <c r="O14" s="17" t="str">
        <f>IFERROR(_xlfn.XLOOKUP(N14,'Master Salary'!$B$2:$B$8,'Master Salary'!$A$2:$A$8),"")</f>
        <v>SP</v>
      </c>
      <c r="P14" s="21">
        <f>IFERROR(_xlfn.XLOOKUP(N14,'Master Salary'!$B$2:$B$8,'Master Salary'!$C$2:$C$8),"")</f>
        <v>7000000</v>
      </c>
      <c r="Q14" s="21">
        <f>IFERROR(IF(L14&gt;90%,P14*_xlfn.XLOOKUP(N14,'Master Bonus'!$A$3:$A$9,'Master Bonus'!$B$3:$B$9),0),"")</f>
        <v>0</v>
      </c>
    </row>
    <row r="15" spans="1:18" x14ac:dyDescent="0.3">
      <c r="A15" s="17" t="s">
        <v>61</v>
      </c>
      <c r="B15" s="17" t="s">
        <v>62</v>
      </c>
      <c r="C15" s="17" t="s">
        <v>63</v>
      </c>
      <c r="D15" s="17" t="s">
        <v>27</v>
      </c>
      <c r="E15" s="18">
        <v>43405</v>
      </c>
      <c r="F15" s="17" t="s">
        <v>23</v>
      </c>
      <c r="G15" s="17" t="s">
        <v>328</v>
      </c>
      <c r="H15" s="17" t="str">
        <f>IFERROR(_xlfn.XLOOKUP(G15,'Master Gender'!$B$2:$B$3,'Master Gender'!$A$2:$A$3),"")</f>
        <v>Laki-Laki</v>
      </c>
      <c r="I15" s="17" t="s">
        <v>14</v>
      </c>
      <c r="J15" s="19">
        <v>32543</v>
      </c>
      <c r="K15" s="17">
        <f t="shared" si="0"/>
        <v>36</v>
      </c>
      <c r="L15" s="20">
        <v>0.84</v>
      </c>
      <c r="M15" s="17" t="str">
        <f>IFERROR(_xlfn.XLOOKUP(A15,'Master Position'!$B$2:$B$124,'Master Position'!$A$2:$A$124),"")</f>
        <v>Finance</v>
      </c>
      <c r="N15" s="17" t="str">
        <f>IFERROR(_xlfn.XLOOKUP(A15,'Master Position'!$B$2:$B$124,'Master Position'!$C$2:$C$124),"")</f>
        <v>Senior Staff</v>
      </c>
      <c r="O15" s="17" t="str">
        <f>IFERROR(_xlfn.XLOOKUP(N15,'Master Salary'!$B$2:$B$8,'Master Salary'!$A$2:$A$8),"")</f>
        <v>SS</v>
      </c>
      <c r="P15" s="21">
        <f>IFERROR(_xlfn.XLOOKUP(N15,'Master Salary'!$B$2:$B$8,'Master Salary'!$C$2:$C$8),"")</f>
        <v>5000000</v>
      </c>
      <c r="Q15" s="21">
        <f>IFERROR(IF(L15&gt;90%,P15*_xlfn.XLOOKUP(N15,'Master Bonus'!$A$3:$A$9,'Master Bonus'!$B$3:$B$9),0),"")</f>
        <v>0</v>
      </c>
    </row>
    <row r="16" spans="1:18" x14ac:dyDescent="0.3">
      <c r="A16" s="17" t="s">
        <v>64</v>
      </c>
      <c r="B16" s="17" t="s">
        <v>65</v>
      </c>
      <c r="C16" s="17" t="s">
        <v>14</v>
      </c>
      <c r="D16" s="17" t="s">
        <v>27</v>
      </c>
      <c r="E16" s="18">
        <v>36739</v>
      </c>
      <c r="F16" s="17" t="s">
        <v>23</v>
      </c>
      <c r="G16" s="17" t="s">
        <v>328</v>
      </c>
      <c r="H16" s="17" t="str">
        <f>IFERROR(_xlfn.XLOOKUP(G16,'Master Gender'!$B$2:$B$3,'Master Gender'!$A$2:$A$3),"")</f>
        <v>Laki-Laki</v>
      </c>
      <c r="I16" s="17" t="s">
        <v>66</v>
      </c>
      <c r="J16" s="19">
        <v>27463</v>
      </c>
      <c r="K16" s="17">
        <f t="shared" si="0"/>
        <v>50</v>
      </c>
      <c r="L16" s="20">
        <v>0.89</v>
      </c>
      <c r="M16" s="17" t="str">
        <f>IFERROR(_xlfn.XLOOKUP(A16,'Master Position'!$B$2:$B$124,'Master Position'!$A$2:$A$124),"")</f>
        <v>Production</v>
      </c>
      <c r="N16" s="17" t="str">
        <f>IFERROR(_xlfn.XLOOKUP(A16,'Master Position'!$B$2:$B$124,'Master Position'!$C$2:$C$124),"")</f>
        <v>General Manager</v>
      </c>
      <c r="O16" s="17" t="str">
        <f>IFERROR(_xlfn.XLOOKUP(N16,'Master Salary'!$B$2:$B$8,'Master Salary'!$A$2:$A$8),"")</f>
        <v>GM</v>
      </c>
      <c r="P16" s="21">
        <f>IFERROR(_xlfn.XLOOKUP(N16,'Master Salary'!$B$2:$B$8,'Master Salary'!$C$2:$C$8),"")</f>
        <v>25000000</v>
      </c>
      <c r="Q16" s="21">
        <f>IFERROR(IF(L16&gt;90%,P16*_xlfn.XLOOKUP(N16,'Master Bonus'!$A$3:$A$9,'Master Bonus'!$B$3:$B$9),0),"")</f>
        <v>0</v>
      </c>
    </row>
    <row r="17" spans="1:17" x14ac:dyDescent="0.3">
      <c r="A17" s="17" t="s">
        <v>67</v>
      </c>
      <c r="B17" s="17" t="s">
        <v>68</v>
      </c>
      <c r="C17" s="17" t="s">
        <v>14</v>
      </c>
      <c r="D17" s="17" t="s">
        <v>27</v>
      </c>
      <c r="E17" s="18">
        <v>40126</v>
      </c>
      <c r="F17" s="17" t="s">
        <v>23</v>
      </c>
      <c r="G17" s="17" t="s">
        <v>328</v>
      </c>
      <c r="H17" s="17" t="str">
        <f>IFERROR(_xlfn.XLOOKUP(G17,'Master Gender'!$B$2:$B$3,'Master Gender'!$A$2:$A$3),"")</f>
        <v>Laki-Laki</v>
      </c>
      <c r="I17" s="17" t="s">
        <v>46</v>
      </c>
      <c r="J17" s="19">
        <v>31042</v>
      </c>
      <c r="K17" s="17">
        <f t="shared" si="0"/>
        <v>41</v>
      </c>
      <c r="L17" s="20">
        <v>1</v>
      </c>
      <c r="M17" s="17" t="str">
        <f>IFERROR(_xlfn.XLOOKUP(A17,'Master Position'!$B$2:$B$124,'Master Position'!$A$2:$A$124),"")</f>
        <v>Finance</v>
      </c>
      <c r="N17" s="17" t="str">
        <f>IFERROR(_xlfn.XLOOKUP(A17,'Master Position'!$B$2:$B$124,'Master Position'!$C$2:$C$124),"")</f>
        <v>Senior Manager</v>
      </c>
      <c r="O17" s="17" t="str">
        <f>IFERROR(_xlfn.XLOOKUP(N17,'Master Salary'!$B$2:$B$8,'Master Salary'!$A$2:$A$8),"")</f>
        <v>SM</v>
      </c>
      <c r="P17" s="21">
        <f>IFERROR(_xlfn.XLOOKUP(N17,'Master Salary'!$B$2:$B$8,'Master Salary'!$C$2:$C$8),"")</f>
        <v>18000000</v>
      </c>
      <c r="Q17" s="21">
        <f>IFERROR(IF(L17&gt;90%,P17*_xlfn.XLOOKUP(N17,'Master Bonus'!$A$3:$A$9,'Master Bonus'!$B$3:$B$9),0),"")</f>
        <v>36000000</v>
      </c>
    </row>
    <row r="18" spans="1:17" x14ac:dyDescent="0.3">
      <c r="A18" s="17" t="s">
        <v>69</v>
      </c>
      <c r="B18" s="17" t="s">
        <v>70</v>
      </c>
      <c r="C18" s="17" t="s">
        <v>14</v>
      </c>
      <c r="D18" s="17" t="s">
        <v>27</v>
      </c>
      <c r="E18" s="18">
        <v>42900</v>
      </c>
      <c r="F18" s="17" t="s">
        <v>23</v>
      </c>
      <c r="G18" s="17" t="s">
        <v>327</v>
      </c>
      <c r="H18" s="17" t="str">
        <f>IFERROR(_xlfn.XLOOKUP(G18,'Master Gender'!$B$2:$B$3,'Master Gender'!$A$2:$A$3),"")</f>
        <v>Perempuan</v>
      </c>
      <c r="I18" s="17" t="s">
        <v>71</v>
      </c>
      <c r="J18" s="19">
        <v>30886</v>
      </c>
      <c r="K18" s="17">
        <f t="shared" si="0"/>
        <v>41</v>
      </c>
      <c r="L18" s="20">
        <v>0.85</v>
      </c>
      <c r="M18" s="17" t="str">
        <f>IFERROR(_xlfn.XLOOKUP(A18,'Master Position'!$B$2:$B$124,'Master Position'!$A$2:$A$124),"")</f>
        <v>Production</v>
      </c>
      <c r="N18" s="17" t="str">
        <f>IFERROR(_xlfn.XLOOKUP(A18,'Master Position'!$B$2:$B$124,'Master Position'!$C$2:$C$124),"")</f>
        <v>General Manager</v>
      </c>
      <c r="O18" s="17" t="str">
        <f>IFERROR(_xlfn.XLOOKUP(N18,'Master Salary'!$B$2:$B$8,'Master Salary'!$A$2:$A$8),"")</f>
        <v>GM</v>
      </c>
      <c r="P18" s="21">
        <f>IFERROR(_xlfn.XLOOKUP(N18,'Master Salary'!$B$2:$B$8,'Master Salary'!$C$2:$C$8),"")</f>
        <v>25000000</v>
      </c>
      <c r="Q18" s="21">
        <f>IFERROR(IF(L18&gt;90%,P18*_xlfn.XLOOKUP(N18,'Master Bonus'!$A$3:$A$9,'Master Bonus'!$B$3:$B$9),0),"")</f>
        <v>0</v>
      </c>
    </row>
    <row r="19" spans="1:17" x14ac:dyDescent="0.3">
      <c r="A19" s="17" t="s">
        <v>72</v>
      </c>
      <c r="B19" s="17" t="s">
        <v>73</v>
      </c>
      <c r="C19" s="17" t="s">
        <v>14</v>
      </c>
      <c r="D19" s="17" t="s">
        <v>27</v>
      </c>
      <c r="E19" s="18">
        <v>44900</v>
      </c>
      <c r="F19" s="17" t="s">
        <v>18</v>
      </c>
      <c r="G19" s="17" t="s">
        <v>328</v>
      </c>
      <c r="H19" s="17" t="str">
        <f>IFERROR(_xlfn.XLOOKUP(G19,'Master Gender'!$B$2:$B$3,'Master Gender'!$A$2:$A$3),"")</f>
        <v>Laki-Laki</v>
      </c>
      <c r="I19" s="17" t="s">
        <v>74</v>
      </c>
      <c r="J19" s="19">
        <v>31567</v>
      </c>
      <c r="K19" s="17">
        <f t="shared" si="0"/>
        <v>39</v>
      </c>
      <c r="L19" s="20">
        <v>0.68</v>
      </c>
      <c r="M19" s="17" t="str">
        <f>IFERROR(_xlfn.XLOOKUP(A19,'Master Position'!$B$2:$B$124,'Master Position'!$A$2:$A$124),"")</f>
        <v>Marketing</v>
      </c>
      <c r="N19" s="17" t="str">
        <f>IFERROR(_xlfn.XLOOKUP(A19,'Master Position'!$B$2:$B$124,'Master Position'!$C$2:$C$124),"")</f>
        <v>Senior Manager</v>
      </c>
      <c r="O19" s="17" t="str">
        <f>IFERROR(_xlfn.XLOOKUP(N19,'Master Salary'!$B$2:$B$8,'Master Salary'!$A$2:$A$8),"")</f>
        <v>SM</v>
      </c>
      <c r="P19" s="21">
        <f>IFERROR(_xlfn.XLOOKUP(N19,'Master Salary'!$B$2:$B$8,'Master Salary'!$C$2:$C$8),"")</f>
        <v>18000000</v>
      </c>
      <c r="Q19" s="21">
        <f>IFERROR(IF(L19&gt;90%,P19*_xlfn.XLOOKUP(N19,'Master Bonus'!$A$3:$A$9,'Master Bonus'!$B$3:$B$9),0),"")</f>
        <v>0</v>
      </c>
    </row>
    <row r="20" spans="1:17" x14ac:dyDescent="0.3">
      <c r="A20" s="17" t="s">
        <v>75</v>
      </c>
      <c r="B20" s="17" t="s">
        <v>76</v>
      </c>
      <c r="C20" s="17" t="s">
        <v>14</v>
      </c>
      <c r="D20" s="17" t="s">
        <v>27</v>
      </c>
      <c r="E20" s="18">
        <v>43206</v>
      </c>
      <c r="F20" s="17" t="s">
        <v>23</v>
      </c>
      <c r="G20" s="17" t="s">
        <v>327</v>
      </c>
      <c r="H20" s="17" t="str">
        <f>IFERROR(_xlfn.XLOOKUP(G20,'Master Gender'!$B$2:$B$3,'Master Gender'!$A$2:$A$3),"")</f>
        <v>Perempuan</v>
      </c>
      <c r="I20" s="17" t="s">
        <v>14</v>
      </c>
      <c r="J20" s="19">
        <v>34394</v>
      </c>
      <c r="K20" s="17">
        <f t="shared" si="0"/>
        <v>31</v>
      </c>
      <c r="L20" s="20">
        <v>0.64</v>
      </c>
      <c r="M20" s="17" t="str">
        <f>IFERROR(_xlfn.XLOOKUP(A20,'Master Position'!$B$2:$B$124,'Master Position'!$A$2:$A$124),"")</f>
        <v>Human Resources</v>
      </c>
      <c r="N20" s="17" t="str">
        <f>IFERROR(_xlfn.XLOOKUP(A20,'Master Position'!$B$2:$B$124,'Master Position'!$C$2:$C$124),"")</f>
        <v>Junior Manager</v>
      </c>
      <c r="O20" s="17" t="str">
        <f>IFERROR(_xlfn.XLOOKUP(N20,'Master Salary'!$B$2:$B$8,'Master Salary'!$A$2:$A$8),"")</f>
        <v>JM</v>
      </c>
      <c r="P20" s="21">
        <f>IFERROR(_xlfn.XLOOKUP(N20,'Master Salary'!$B$2:$B$8,'Master Salary'!$C$2:$C$8),"")</f>
        <v>12000000</v>
      </c>
      <c r="Q20" s="21">
        <f>IFERROR(IF(L20&gt;90%,P20*_xlfn.XLOOKUP(N20,'Master Bonus'!$A$3:$A$9,'Master Bonus'!$B$3:$B$9),0),"")</f>
        <v>0</v>
      </c>
    </row>
    <row r="21" spans="1:17" x14ac:dyDescent="0.3">
      <c r="A21" s="17" t="s">
        <v>78</v>
      </c>
      <c r="B21" s="17" t="s">
        <v>79</v>
      </c>
      <c r="C21" s="17" t="s">
        <v>14</v>
      </c>
      <c r="D21" s="17" t="s">
        <v>15</v>
      </c>
      <c r="E21" s="18">
        <v>43206</v>
      </c>
      <c r="F21" s="17" t="s">
        <v>23</v>
      </c>
      <c r="G21" s="17" t="s">
        <v>328</v>
      </c>
      <c r="H21" s="17" t="str">
        <f>IFERROR(_xlfn.XLOOKUP(G21,'Master Gender'!$B$2:$B$3,'Master Gender'!$A$2:$A$3),"")</f>
        <v>Laki-Laki</v>
      </c>
      <c r="I21" s="17" t="s">
        <v>14</v>
      </c>
      <c r="J21" s="19">
        <v>34394</v>
      </c>
      <c r="K21" s="17">
        <f t="shared" si="0"/>
        <v>31</v>
      </c>
      <c r="L21" s="20">
        <v>0.81</v>
      </c>
      <c r="M21" s="17" t="str">
        <f>IFERROR(_xlfn.XLOOKUP(A21,'Master Position'!$B$2:$B$124,'Master Position'!$A$2:$A$124),"")</f>
        <v>Finance</v>
      </c>
      <c r="N21" s="17" t="str">
        <f>IFERROR(_xlfn.XLOOKUP(A21,'Master Position'!$B$2:$B$124,'Master Position'!$C$2:$C$124),"")</f>
        <v>Supervisor</v>
      </c>
      <c r="O21" s="17" t="str">
        <f>IFERROR(_xlfn.XLOOKUP(N21,'Master Salary'!$B$2:$B$8,'Master Salary'!$A$2:$A$8),"")</f>
        <v>SP</v>
      </c>
      <c r="P21" s="21">
        <f>IFERROR(_xlfn.XLOOKUP(N21,'Master Salary'!$B$2:$B$8,'Master Salary'!$C$2:$C$8),"")</f>
        <v>7000000</v>
      </c>
      <c r="Q21" s="21">
        <f>IFERROR(IF(L21&gt;90%,P21*_xlfn.XLOOKUP(N21,'Master Bonus'!$A$3:$A$9,'Master Bonus'!$B$3:$B$9),0),"")</f>
        <v>0</v>
      </c>
    </row>
    <row r="22" spans="1:17" x14ac:dyDescent="0.3">
      <c r="A22" s="17" t="s">
        <v>80</v>
      </c>
      <c r="B22" s="17" t="s">
        <v>81</v>
      </c>
      <c r="C22" s="17" t="s">
        <v>14</v>
      </c>
      <c r="D22" s="17" t="s">
        <v>15</v>
      </c>
      <c r="E22" s="18">
        <v>38922</v>
      </c>
      <c r="F22" s="17" t="s">
        <v>23</v>
      </c>
      <c r="G22" s="17" t="s">
        <v>328</v>
      </c>
      <c r="H22" s="17" t="str">
        <f>IFERROR(_xlfn.XLOOKUP(G22,'Master Gender'!$B$2:$B$3,'Master Gender'!$A$2:$A$3),"")</f>
        <v>Laki-Laki</v>
      </c>
      <c r="I22" s="17" t="s">
        <v>82</v>
      </c>
      <c r="J22" s="19">
        <v>30364</v>
      </c>
      <c r="K22" s="17">
        <f t="shared" si="0"/>
        <v>42</v>
      </c>
      <c r="L22" s="20">
        <v>0.73</v>
      </c>
      <c r="M22" s="17" t="str">
        <f>IFERROR(_xlfn.XLOOKUP(A22,'Master Position'!$B$2:$B$124,'Master Position'!$A$2:$A$124),"")</f>
        <v>Production</v>
      </c>
      <c r="N22" s="17" t="str">
        <f>IFERROR(_xlfn.XLOOKUP(A22,'Master Position'!$B$2:$B$124,'Master Position'!$C$2:$C$124),"")</f>
        <v>Supervisor</v>
      </c>
      <c r="O22" s="17" t="str">
        <f>IFERROR(_xlfn.XLOOKUP(N22,'Master Salary'!$B$2:$B$8,'Master Salary'!$A$2:$A$8),"")</f>
        <v>SP</v>
      </c>
      <c r="P22" s="21">
        <f>IFERROR(_xlfn.XLOOKUP(N22,'Master Salary'!$B$2:$B$8,'Master Salary'!$C$2:$C$8),"")</f>
        <v>7000000</v>
      </c>
      <c r="Q22" s="21">
        <f>IFERROR(IF(L22&gt;90%,P22*_xlfn.XLOOKUP(N22,'Master Bonus'!$A$3:$A$9,'Master Bonus'!$B$3:$B$9),0),"")</f>
        <v>0</v>
      </c>
    </row>
    <row r="23" spans="1:17" x14ac:dyDescent="0.3">
      <c r="A23" s="17" t="s">
        <v>83</v>
      </c>
      <c r="B23" s="17" t="s">
        <v>84</v>
      </c>
      <c r="C23" s="17" t="s">
        <v>14</v>
      </c>
      <c r="D23" s="17" t="s">
        <v>27</v>
      </c>
      <c r="E23" s="18">
        <v>44571</v>
      </c>
      <c r="F23" s="17" t="s">
        <v>23</v>
      </c>
      <c r="G23" s="17" t="s">
        <v>327</v>
      </c>
      <c r="H23" s="17" t="str">
        <f>IFERROR(_xlfn.XLOOKUP(G23,'Master Gender'!$B$2:$B$3,'Master Gender'!$A$2:$A$3),"")</f>
        <v>Perempuan</v>
      </c>
      <c r="I23" s="17" t="s">
        <v>85</v>
      </c>
      <c r="J23" s="19">
        <v>35355</v>
      </c>
      <c r="K23" s="17">
        <f t="shared" si="0"/>
        <v>29</v>
      </c>
      <c r="L23" s="20">
        <v>0.93</v>
      </c>
      <c r="M23" s="17" t="str">
        <f>IFERROR(_xlfn.XLOOKUP(A23,'Master Position'!$B$2:$B$124,'Master Position'!$A$2:$A$124),"")</f>
        <v>Marketing</v>
      </c>
      <c r="N23" s="17" t="str">
        <f>IFERROR(_xlfn.XLOOKUP(A23,'Master Position'!$B$2:$B$124,'Master Position'!$C$2:$C$124),"")</f>
        <v>Senior Staff</v>
      </c>
      <c r="O23" s="17" t="str">
        <f>IFERROR(_xlfn.XLOOKUP(N23,'Master Salary'!$B$2:$B$8,'Master Salary'!$A$2:$A$8),"")</f>
        <v>SS</v>
      </c>
      <c r="P23" s="21">
        <f>IFERROR(_xlfn.XLOOKUP(N23,'Master Salary'!$B$2:$B$8,'Master Salary'!$C$2:$C$8),"")</f>
        <v>5000000</v>
      </c>
      <c r="Q23" s="21">
        <f>IFERROR(IF(L23&gt;90%,P23*_xlfn.XLOOKUP(N23,'Master Bonus'!$A$3:$A$9,'Master Bonus'!$B$3:$B$9),0),"")</f>
        <v>5000000</v>
      </c>
    </row>
    <row r="24" spans="1:17" x14ac:dyDescent="0.3">
      <c r="A24" s="17" t="s">
        <v>86</v>
      </c>
      <c r="B24" s="17" t="s">
        <v>87</v>
      </c>
      <c r="C24" s="17" t="s">
        <v>14</v>
      </c>
      <c r="D24" s="17" t="s">
        <v>15</v>
      </c>
      <c r="E24" s="18">
        <v>44691</v>
      </c>
      <c r="F24" s="17" t="s">
        <v>18</v>
      </c>
      <c r="G24" s="17" t="s">
        <v>328</v>
      </c>
      <c r="H24" s="17" t="str">
        <f>IFERROR(_xlfn.XLOOKUP(G24,'Master Gender'!$B$2:$B$3,'Master Gender'!$A$2:$A$3),"")</f>
        <v>Laki-Laki</v>
      </c>
      <c r="I24" s="17" t="s">
        <v>14</v>
      </c>
      <c r="J24" s="19">
        <v>31066</v>
      </c>
      <c r="K24" s="17">
        <f t="shared" si="0"/>
        <v>40</v>
      </c>
      <c r="L24" s="20">
        <v>0.71</v>
      </c>
      <c r="M24" s="17" t="str">
        <f>IFERROR(_xlfn.XLOOKUP(A24,'Master Position'!$B$2:$B$124,'Master Position'!$A$2:$A$124),"")</f>
        <v>Marketing</v>
      </c>
      <c r="N24" s="17" t="str">
        <f>IFERROR(_xlfn.XLOOKUP(A24,'Master Position'!$B$2:$B$124,'Master Position'!$C$2:$C$124),"")</f>
        <v>General Manager</v>
      </c>
      <c r="O24" s="17" t="str">
        <f>IFERROR(_xlfn.XLOOKUP(N24,'Master Salary'!$B$2:$B$8,'Master Salary'!$A$2:$A$8),"")</f>
        <v>GM</v>
      </c>
      <c r="P24" s="21">
        <f>IFERROR(_xlfn.XLOOKUP(N24,'Master Salary'!$B$2:$B$8,'Master Salary'!$C$2:$C$8),"")</f>
        <v>25000000</v>
      </c>
      <c r="Q24" s="21">
        <f>IFERROR(IF(L24&gt;90%,P24*_xlfn.XLOOKUP(N24,'Master Bonus'!$A$3:$A$9,'Master Bonus'!$B$3:$B$9),0),"")</f>
        <v>0</v>
      </c>
    </row>
    <row r="25" spans="1:17" x14ac:dyDescent="0.3">
      <c r="A25" s="17" t="s">
        <v>88</v>
      </c>
      <c r="B25" s="17" t="s">
        <v>89</v>
      </c>
      <c r="C25" s="17" t="s">
        <v>63</v>
      </c>
      <c r="D25" s="17" t="s">
        <v>27</v>
      </c>
      <c r="E25" s="18">
        <v>44013</v>
      </c>
      <c r="F25" s="17" t="s">
        <v>23</v>
      </c>
      <c r="G25" s="17" t="s">
        <v>328</v>
      </c>
      <c r="H25" s="17" t="str">
        <f>IFERROR(_xlfn.XLOOKUP(G25,'Master Gender'!$B$2:$B$3,'Master Gender'!$A$2:$A$3),"")</f>
        <v>Laki-Laki</v>
      </c>
      <c r="I25" s="17" t="s">
        <v>14</v>
      </c>
      <c r="J25" s="19">
        <v>31849</v>
      </c>
      <c r="K25" s="17">
        <f t="shared" si="0"/>
        <v>38</v>
      </c>
      <c r="L25" s="20">
        <v>0.86</v>
      </c>
      <c r="M25" s="17" t="str">
        <f>IFERROR(_xlfn.XLOOKUP(A25,'Master Position'!$B$2:$B$124,'Master Position'!$A$2:$A$124),"")</f>
        <v>Production</v>
      </c>
      <c r="N25" s="17" t="str">
        <f>IFERROR(_xlfn.XLOOKUP(A25,'Master Position'!$B$2:$B$124,'Master Position'!$C$2:$C$124),"")</f>
        <v>General Manager</v>
      </c>
      <c r="O25" s="17" t="str">
        <f>IFERROR(_xlfn.XLOOKUP(N25,'Master Salary'!$B$2:$B$8,'Master Salary'!$A$2:$A$8),"")</f>
        <v>GM</v>
      </c>
      <c r="P25" s="21">
        <f>IFERROR(_xlfn.XLOOKUP(N25,'Master Salary'!$B$2:$B$8,'Master Salary'!$C$2:$C$8),"")</f>
        <v>25000000</v>
      </c>
      <c r="Q25" s="21">
        <f>IFERROR(IF(L25&gt;90%,P25*_xlfn.XLOOKUP(N25,'Master Bonus'!$A$3:$A$9,'Master Bonus'!$B$3:$B$9),0),"")</f>
        <v>0</v>
      </c>
    </row>
    <row r="26" spans="1:17" x14ac:dyDescent="0.3">
      <c r="A26" s="17" t="s">
        <v>90</v>
      </c>
      <c r="B26" s="17" t="s">
        <v>91</v>
      </c>
      <c r="C26" s="17" t="s">
        <v>14</v>
      </c>
      <c r="D26" s="17" t="s">
        <v>27</v>
      </c>
      <c r="E26" s="18">
        <v>44690</v>
      </c>
      <c r="F26" s="17" t="s">
        <v>23</v>
      </c>
      <c r="G26" s="17" t="s">
        <v>328</v>
      </c>
      <c r="H26" s="17" t="str">
        <f>IFERROR(_xlfn.XLOOKUP(G26,'Master Gender'!$B$2:$B$3,'Master Gender'!$A$2:$A$3),"")</f>
        <v>Laki-Laki</v>
      </c>
      <c r="I26" s="17" t="s">
        <v>92</v>
      </c>
      <c r="J26" s="19">
        <v>35080</v>
      </c>
      <c r="K26" s="17">
        <f t="shared" si="0"/>
        <v>29</v>
      </c>
      <c r="L26" s="20">
        <v>0.89</v>
      </c>
      <c r="M26" s="17" t="str">
        <f>IFERROR(_xlfn.XLOOKUP(A26,'Master Position'!$B$2:$B$124,'Master Position'!$A$2:$A$124),"")</f>
        <v>Production</v>
      </c>
      <c r="N26" s="17" t="str">
        <f>IFERROR(_xlfn.XLOOKUP(A26,'Master Position'!$B$2:$B$124,'Master Position'!$C$2:$C$124),"")</f>
        <v>Senior Staff</v>
      </c>
      <c r="O26" s="17" t="str">
        <f>IFERROR(_xlfn.XLOOKUP(N26,'Master Salary'!$B$2:$B$8,'Master Salary'!$A$2:$A$8),"")</f>
        <v>SS</v>
      </c>
      <c r="P26" s="21">
        <f>IFERROR(_xlfn.XLOOKUP(N26,'Master Salary'!$B$2:$B$8,'Master Salary'!$C$2:$C$8),"")</f>
        <v>5000000</v>
      </c>
      <c r="Q26" s="21">
        <f>IFERROR(IF(L26&gt;90%,P26*_xlfn.XLOOKUP(N26,'Master Bonus'!$A$3:$A$9,'Master Bonus'!$B$3:$B$9),0),"")</f>
        <v>0</v>
      </c>
    </row>
    <row r="27" spans="1:17" x14ac:dyDescent="0.3">
      <c r="A27" s="17" t="s">
        <v>93</v>
      </c>
      <c r="B27" s="17" t="s">
        <v>94</v>
      </c>
      <c r="C27" s="17" t="s">
        <v>14</v>
      </c>
      <c r="D27" s="17" t="s">
        <v>27</v>
      </c>
      <c r="E27" s="18">
        <v>42870</v>
      </c>
      <c r="F27" s="17" t="s">
        <v>23</v>
      </c>
      <c r="G27" s="17" t="s">
        <v>327</v>
      </c>
      <c r="H27" s="17" t="str">
        <f>IFERROR(_xlfn.XLOOKUP(G27,'Master Gender'!$B$2:$B$3,'Master Gender'!$A$2:$A$3),"")</f>
        <v>Perempuan</v>
      </c>
      <c r="I27" s="17" t="s">
        <v>14</v>
      </c>
      <c r="J27" s="19">
        <v>34052</v>
      </c>
      <c r="K27" s="17">
        <f t="shared" si="0"/>
        <v>32</v>
      </c>
      <c r="L27" s="20">
        <v>0.98</v>
      </c>
      <c r="M27" s="17" t="str">
        <f>IFERROR(_xlfn.XLOOKUP(A27,'Master Position'!$B$2:$B$124,'Master Position'!$A$2:$A$124),"")</f>
        <v>Production</v>
      </c>
      <c r="N27" s="17" t="str">
        <f>IFERROR(_xlfn.XLOOKUP(A27,'Master Position'!$B$2:$B$124,'Master Position'!$C$2:$C$124),"")</f>
        <v>Supervisor</v>
      </c>
      <c r="O27" s="17" t="str">
        <f>IFERROR(_xlfn.XLOOKUP(N27,'Master Salary'!$B$2:$B$8,'Master Salary'!$A$2:$A$8),"")</f>
        <v>SP</v>
      </c>
      <c r="P27" s="21">
        <f>IFERROR(_xlfn.XLOOKUP(N27,'Master Salary'!$B$2:$B$8,'Master Salary'!$C$2:$C$8),"")</f>
        <v>7000000</v>
      </c>
      <c r="Q27" s="21">
        <f>IFERROR(IF(L27&gt;90%,P27*_xlfn.XLOOKUP(N27,'Master Bonus'!$A$3:$A$9,'Master Bonus'!$B$3:$B$9),0),"")</f>
        <v>7000000</v>
      </c>
    </row>
    <row r="28" spans="1:17" x14ac:dyDescent="0.3">
      <c r="A28" s="17" t="s">
        <v>95</v>
      </c>
      <c r="B28" s="17" t="s">
        <v>96</v>
      </c>
      <c r="C28" s="17" t="s">
        <v>14</v>
      </c>
      <c r="D28" s="17" t="s">
        <v>27</v>
      </c>
      <c r="E28" s="18">
        <v>40452</v>
      </c>
      <c r="F28" s="17" t="s">
        <v>23</v>
      </c>
      <c r="G28" s="17" t="s">
        <v>328</v>
      </c>
      <c r="H28" s="17" t="str">
        <f>IFERROR(_xlfn.XLOOKUP(G28,'Master Gender'!$B$2:$B$3,'Master Gender'!$A$2:$A$3),"")</f>
        <v>Laki-Laki</v>
      </c>
      <c r="I28" s="17" t="s">
        <v>97</v>
      </c>
      <c r="J28" s="19">
        <v>31019</v>
      </c>
      <c r="K28" s="17">
        <f t="shared" si="0"/>
        <v>41</v>
      </c>
      <c r="L28" s="20">
        <v>0.97</v>
      </c>
      <c r="M28" s="17" t="str">
        <f>IFERROR(_xlfn.XLOOKUP(A28,'Master Position'!$B$2:$B$124,'Master Position'!$A$2:$A$124),"")</f>
        <v>Human Resources</v>
      </c>
      <c r="N28" s="17" t="str">
        <f>IFERROR(_xlfn.XLOOKUP(A28,'Master Position'!$B$2:$B$124,'Master Position'!$C$2:$C$124),"")</f>
        <v>Senior Manager</v>
      </c>
      <c r="O28" s="17" t="str">
        <f>IFERROR(_xlfn.XLOOKUP(N28,'Master Salary'!$B$2:$B$8,'Master Salary'!$A$2:$A$8),"")</f>
        <v>SM</v>
      </c>
      <c r="P28" s="21">
        <f>IFERROR(_xlfn.XLOOKUP(N28,'Master Salary'!$B$2:$B$8,'Master Salary'!$C$2:$C$8),"")</f>
        <v>18000000</v>
      </c>
      <c r="Q28" s="21">
        <f>IFERROR(IF(L28&gt;90%,P28*_xlfn.XLOOKUP(N28,'Master Bonus'!$A$3:$A$9,'Master Bonus'!$B$3:$B$9),0),"")</f>
        <v>36000000</v>
      </c>
    </row>
    <row r="29" spans="1:17" x14ac:dyDescent="0.3">
      <c r="A29" s="17" t="s">
        <v>98</v>
      </c>
      <c r="B29" s="17" t="s">
        <v>99</v>
      </c>
      <c r="C29" s="17" t="s">
        <v>14</v>
      </c>
      <c r="D29" s="17" t="s">
        <v>27</v>
      </c>
      <c r="E29" s="18">
        <v>40452</v>
      </c>
      <c r="F29" s="17" t="s">
        <v>23</v>
      </c>
      <c r="G29" s="17" t="s">
        <v>327</v>
      </c>
      <c r="H29" s="17" t="str">
        <f>IFERROR(_xlfn.XLOOKUP(G29,'Master Gender'!$B$2:$B$3,'Master Gender'!$A$2:$A$3),"")</f>
        <v>Perempuan</v>
      </c>
      <c r="I29" s="17" t="s">
        <v>63</v>
      </c>
      <c r="J29" s="19">
        <v>29008</v>
      </c>
      <c r="K29" s="17">
        <f t="shared" si="0"/>
        <v>46</v>
      </c>
      <c r="L29" s="20">
        <v>0.87</v>
      </c>
      <c r="M29" s="17" t="str">
        <f>IFERROR(_xlfn.XLOOKUP(A29,'Master Position'!$B$2:$B$124,'Master Position'!$A$2:$A$124),"")</f>
        <v>Marketing</v>
      </c>
      <c r="N29" s="17" t="str">
        <f>IFERROR(_xlfn.XLOOKUP(A29,'Master Position'!$B$2:$B$124,'Master Position'!$C$2:$C$124),"")</f>
        <v>Supervisor</v>
      </c>
      <c r="O29" s="17" t="str">
        <f>IFERROR(_xlfn.XLOOKUP(N29,'Master Salary'!$B$2:$B$8,'Master Salary'!$A$2:$A$8),"")</f>
        <v>SP</v>
      </c>
      <c r="P29" s="21">
        <f>IFERROR(_xlfn.XLOOKUP(N29,'Master Salary'!$B$2:$B$8,'Master Salary'!$C$2:$C$8),"")</f>
        <v>7000000</v>
      </c>
      <c r="Q29" s="21">
        <f>IFERROR(IF(L29&gt;90%,P29*_xlfn.XLOOKUP(N29,'Master Bonus'!$A$3:$A$9,'Master Bonus'!$B$3:$B$9),0),"")</f>
        <v>0</v>
      </c>
    </row>
    <row r="30" spans="1:17" x14ac:dyDescent="0.3">
      <c r="A30" s="17" t="s">
        <v>100</v>
      </c>
      <c r="B30" s="17" t="s">
        <v>101</v>
      </c>
      <c r="C30" s="17" t="s">
        <v>14</v>
      </c>
      <c r="D30" s="17" t="s">
        <v>27</v>
      </c>
      <c r="E30" s="18">
        <v>43164</v>
      </c>
      <c r="F30" s="17" t="s">
        <v>23</v>
      </c>
      <c r="G30" s="17" t="s">
        <v>328</v>
      </c>
      <c r="H30" s="17" t="str">
        <f>IFERROR(_xlfn.XLOOKUP(G30,'Master Gender'!$B$2:$B$3,'Master Gender'!$A$2:$A$3),"")</f>
        <v>Laki-Laki</v>
      </c>
      <c r="I30" s="17" t="s">
        <v>14</v>
      </c>
      <c r="J30" s="19">
        <v>31728</v>
      </c>
      <c r="K30" s="17">
        <f t="shared" si="0"/>
        <v>39</v>
      </c>
      <c r="L30" s="20">
        <v>0.96</v>
      </c>
      <c r="M30" s="17" t="str">
        <f>IFERROR(_xlfn.XLOOKUP(A30,'Master Position'!$B$2:$B$124,'Master Position'!$A$2:$A$124),"")</f>
        <v>Production</v>
      </c>
      <c r="N30" s="17" t="str">
        <f>IFERROR(_xlfn.XLOOKUP(A30,'Master Position'!$B$2:$B$124,'Master Position'!$C$2:$C$124),"")</f>
        <v>Senior Staff</v>
      </c>
      <c r="O30" s="17" t="str">
        <f>IFERROR(_xlfn.XLOOKUP(N30,'Master Salary'!$B$2:$B$8,'Master Salary'!$A$2:$A$8),"")</f>
        <v>SS</v>
      </c>
      <c r="P30" s="21">
        <f>IFERROR(_xlfn.XLOOKUP(N30,'Master Salary'!$B$2:$B$8,'Master Salary'!$C$2:$C$8),"")</f>
        <v>5000000</v>
      </c>
      <c r="Q30" s="21">
        <f>IFERROR(IF(L30&gt;90%,P30*_xlfn.XLOOKUP(N30,'Master Bonus'!$A$3:$A$9,'Master Bonus'!$B$3:$B$9),0),"")</f>
        <v>5000000</v>
      </c>
    </row>
    <row r="31" spans="1:17" x14ac:dyDescent="0.3">
      <c r="A31" s="17" t="s">
        <v>102</v>
      </c>
      <c r="B31" s="17" t="s">
        <v>103</v>
      </c>
      <c r="C31" s="17" t="s">
        <v>14</v>
      </c>
      <c r="D31" s="17" t="s">
        <v>27</v>
      </c>
      <c r="E31" s="18">
        <v>44928</v>
      </c>
      <c r="F31" s="17" t="s">
        <v>23</v>
      </c>
      <c r="G31" s="17" t="s">
        <v>327</v>
      </c>
      <c r="H31" s="17" t="str">
        <f>IFERROR(_xlfn.XLOOKUP(G31,'Master Gender'!$B$2:$B$3,'Master Gender'!$A$2:$A$3),"")</f>
        <v>Perempuan</v>
      </c>
      <c r="I31" s="17" t="s">
        <v>58</v>
      </c>
      <c r="J31" s="19">
        <v>35301</v>
      </c>
      <c r="K31" s="17">
        <f t="shared" si="0"/>
        <v>29</v>
      </c>
      <c r="L31" s="20">
        <v>0.85</v>
      </c>
      <c r="M31" s="17" t="str">
        <f>IFERROR(_xlfn.XLOOKUP(A31,'Master Position'!$B$2:$B$124,'Master Position'!$A$2:$A$124),"")</f>
        <v>Finance</v>
      </c>
      <c r="N31" s="17" t="str">
        <f>IFERROR(_xlfn.XLOOKUP(A31,'Master Position'!$B$2:$B$124,'Master Position'!$C$2:$C$124),"")</f>
        <v>Senior Staff</v>
      </c>
      <c r="O31" s="17" t="str">
        <f>IFERROR(_xlfn.XLOOKUP(N31,'Master Salary'!$B$2:$B$8,'Master Salary'!$A$2:$A$8),"")</f>
        <v>SS</v>
      </c>
      <c r="P31" s="21">
        <f>IFERROR(_xlfn.XLOOKUP(N31,'Master Salary'!$B$2:$B$8,'Master Salary'!$C$2:$C$8),"")</f>
        <v>5000000</v>
      </c>
      <c r="Q31" s="21">
        <f>IFERROR(IF(L31&gt;90%,P31*_xlfn.XLOOKUP(N31,'Master Bonus'!$A$3:$A$9,'Master Bonus'!$B$3:$B$9),0),"")</f>
        <v>0</v>
      </c>
    </row>
    <row r="32" spans="1:17" x14ac:dyDescent="0.3">
      <c r="A32" s="17" t="s">
        <v>104</v>
      </c>
      <c r="B32" s="17" t="s">
        <v>105</v>
      </c>
      <c r="C32" s="17" t="s">
        <v>14</v>
      </c>
      <c r="D32" s="17" t="s">
        <v>15</v>
      </c>
      <c r="E32" s="18">
        <v>42933</v>
      </c>
      <c r="F32" s="17" t="s">
        <v>23</v>
      </c>
      <c r="G32" s="17" t="s">
        <v>328</v>
      </c>
      <c r="H32" s="17" t="str">
        <f>IFERROR(_xlfn.XLOOKUP(G32,'Master Gender'!$B$2:$B$3,'Master Gender'!$A$2:$A$3),"")</f>
        <v>Laki-Laki</v>
      </c>
      <c r="I32" s="17" t="s">
        <v>106</v>
      </c>
      <c r="J32" s="19">
        <v>32370</v>
      </c>
      <c r="K32" s="17">
        <f t="shared" si="0"/>
        <v>37</v>
      </c>
      <c r="L32" s="20">
        <v>0.74</v>
      </c>
      <c r="M32" s="17" t="str">
        <f>IFERROR(_xlfn.XLOOKUP(A32,'Master Position'!$B$2:$B$124,'Master Position'!$A$2:$A$124),"")</f>
        <v>Human Resources</v>
      </c>
      <c r="N32" s="17" t="str">
        <f>IFERROR(_xlfn.XLOOKUP(A32,'Master Position'!$B$2:$B$124,'Master Position'!$C$2:$C$124),"")</f>
        <v>General Manager</v>
      </c>
      <c r="O32" s="17" t="str">
        <f>IFERROR(_xlfn.XLOOKUP(N32,'Master Salary'!$B$2:$B$8,'Master Salary'!$A$2:$A$8),"")</f>
        <v>GM</v>
      </c>
      <c r="P32" s="21">
        <f>IFERROR(_xlfn.XLOOKUP(N32,'Master Salary'!$B$2:$B$8,'Master Salary'!$C$2:$C$8),"")</f>
        <v>25000000</v>
      </c>
      <c r="Q32" s="21">
        <f>IFERROR(IF(L32&gt;90%,P32*_xlfn.XLOOKUP(N32,'Master Bonus'!$A$3:$A$9,'Master Bonus'!$B$3:$B$9),0),"")</f>
        <v>0</v>
      </c>
    </row>
    <row r="33" spans="1:17" x14ac:dyDescent="0.3">
      <c r="A33" s="17" t="s">
        <v>107</v>
      </c>
      <c r="B33" s="17" t="s">
        <v>108</v>
      </c>
      <c r="C33" s="17" t="s">
        <v>14</v>
      </c>
      <c r="D33" s="17" t="s">
        <v>27</v>
      </c>
      <c r="E33" s="18">
        <v>43272</v>
      </c>
      <c r="F33" s="17" t="s">
        <v>23</v>
      </c>
      <c r="G33" s="17" t="s">
        <v>327</v>
      </c>
      <c r="H33" s="17" t="str">
        <f>IFERROR(_xlfn.XLOOKUP(G33,'Master Gender'!$B$2:$B$3,'Master Gender'!$A$2:$A$3),"")</f>
        <v>Perempuan</v>
      </c>
      <c r="I33" s="17" t="s">
        <v>24</v>
      </c>
      <c r="J33" s="19">
        <v>32544</v>
      </c>
      <c r="K33" s="17">
        <f t="shared" si="0"/>
        <v>36</v>
      </c>
      <c r="L33" s="20">
        <v>0.77</v>
      </c>
      <c r="M33" s="17" t="str">
        <f>IFERROR(_xlfn.XLOOKUP(A33,'Master Position'!$B$2:$B$124,'Master Position'!$A$2:$A$124),"")</f>
        <v>Finance</v>
      </c>
      <c r="N33" s="17" t="str">
        <f>IFERROR(_xlfn.XLOOKUP(A33,'Master Position'!$B$2:$B$124,'Master Position'!$C$2:$C$124),"")</f>
        <v>Senior Manager</v>
      </c>
      <c r="O33" s="17" t="str">
        <f>IFERROR(_xlfn.XLOOKUP(N33,'Master Salary'!$B$2:$B$8,'Master Salary'!$A$2:$A$8),"")</f>
        <v>SM</v>
      </c>
      <c r="P33" s="21">
        <f>IFERROR(_xlfn.XLOOKUP(N33,'Master Salary'!$B$2:$B$8,'Master Salary'!$C$2:$C$8),"")</f>
        <v>18000000</v>
      </c>
      <c r="Q33" s="21">
        <f>IFERROR(IF(L33&gt;90%,P33*_xlfn.XLOOKUP(N33,'Master Bonus'!$A$3:$A$9,'Master Bonus'!$B$3:$B$9),0),"")</f>
        <v>0</v>
      </c>
    </row>
    <row r="34" spans="1:17" x14ac:dyDescent="0.3">
      <c r="A34" s="17" t="s">
        <v>109</v>
      </c>
      <c r="B34" s="17" t="s">
        <v>110</v>
      </c>
      <c r="C34" s="17" t="s">
        <v>14</v>
      </c>
      <c r="D34" s="17" t="s">
        <v>27</v>
      </c>
      <c r="E34" s="18">
        <v>43346</v>
      </c>
      <c r="F34" s="17" t="s">
        <v>23</v>
      </c>
      <c r="G34" s="17" t="s">
        <v>328</v>
      </c>
      <c r="H34" s="17" t="str">
        <f>IFERROR(_xlfn.XLOOKUP(G34,'Master Gender'!$B$2:$B$3,'Master Gender'!$A$2:$A$3),"")</f>
        <v>Laki-Laki</v>
      </c>
      <c r="I34" s="17" t="s">
        <v>111</v>
      </c>
      <c r="J34" s="19">
        <v>34740</v>
      </c>
      <c r="K34" s="17">
        <f t="shared" si="0"/>
        <v>30</v>
      </c>
      <c r="L34" s="20">
        <v>0.62</v>
      </c>
      <c r="M34" s="17" t="str">
        <f>IFERROR(_xlfn.XLOOKUP(A34,'Master Position'!$B$2:$B$124,'Master Position'!$A$2:$A$124),"")</f>
        <v>Marketing</v>
      </c>
      <c r="N34" s="17" t="str">
        <f>IFERROR(_xlfn.XLOOKUP(A34,'Master Position'!$B$2:$B$124,'Master Position'!$C$2:$C$124),"")</f>
        <v>Staff</v>
      </c>
      <c r="O34" s="17" t="str">
        <f>IFERROR(_xlfn.XLOOKUP(N34,'Master Salary'!$B$2:$B$8,'Master Salary'!$A$2:$A$8),"")</f>
        <v>ST</v>
      </c>
      <c r="P34" s="21">
        <f>IFERROR(_xlfn.XLOOKUP(N34,'Master Salary'!$B$2:$B$8,'Master Salary'!$C$2:$C$8),"")</f>
        <v>4000000</v>
      </c>
      <c r="Q34" s="21">
        <f>IFERROR(IF(L34&gt;90%,P34*_xlfn.XLOOKUP(N34,'Master Bonus'!$A$3:$A$9,'Master Bonus'!$B$3:$B$9),0),"")</f>
        <v>0</v>
      </c>
    </row>
    <row r="35" spans="1:17" x14ac:dyDescent="0.3">
      <c r="A35" s="17" t="s">
        <v>112</v>
      </c>
      <c r="B35" s="17" t="s">
        <v>113</v>
      </c>
      <c r="C35" s="17" t="s">
        <v>24</v>
      </c>
      <c r="D35" s="17" t="s">
        <v>27</v>
      </c>
      <c r="E35" s="18">
        <v>38534</v>
      </c>
      <c r="F35" s="17" t="s">
        <v>23</v>
      </c>
      <c r="G35" s="17" t="s">
        <v>328</v>
      </c>
      <c r="H35" s="17" t="str">
        <f>IFERROR(_xlfn.XLOOKUP(G35,'Master Gender'!$B$2:$B$3,'Master Gender'!$A$2:$A$3),"")</f>
        <v>Laki-Laki</v>
      </c>
      <c r="I35" s="17" t="s">
        <v>114</v>
      </c>
      <c r="J35" s="19">
        <v>29469</v>
      </c>
      <c r="K35" s="17">
        <f t="shared" si="0"/>
        <v>45</v>
      </c>
      <c r="L35" s="20">
        <v>0.91</v>
      </c>
      <c r="M35" s="17" t="str">
        <f>IFERROR(_xlfn.XLOOKUP(A35,'Master Position'!$B$2:$B$124,'Master Position'!$A$2:$A$124),"")</f>
        <v>Production</v>
      </c>
      <c r="N35" s="17" t="str">
        <f>IFERROR(_xlfn.XLOOKUP(A35,'Master Position'!$B$2:$B$124,'Master Position'!$C$2:$C$124),"")</f>
        <v>Supervisor</v>
      </c>
      <c r="O35" s="17" t="str">
        <f>IFERROR(_xlfn.XLOOKUP(N35,'Master Salary'!$B$2:$B$8,'Master Salary'!$A$2:$A$8),"")</f>
        <v>SP</v>
      </c>
      <c r="P35" s="21">
        <f>IFERROR(_xlfn.XLOOKUP(N35,'Master Salary'!$B$2:$B$8,'Master Salary'!$C$2:$C$8),"")</f>
        <v>7000000</v>
      </c>
      <c r="Q35" s="21">
        <f>IFERROR(IF(L35&gt;90%,P35*_xlfn.XLOOKUP(N35,'Master Bonus'!$A$3:$A$9,'Master Bonus'!$B$3:$B$9),0),"")</f>
        <v>7000000</v>
      </c>
    </row>
    <row r="36" spans="1:17" x14ac:dyDescent="0.3">
      <c r="A36" s="17" t="s">
        <v>115</v>
      </c>
      <c r="B36" s="17" t="s">
        <v>116</v>
      </c>
      <c r="C36" s="17" t="s">
        <v>14</v>
      </c>
      <c r="D36" s="17" t="s">
        <v>27</v>
      </c>
      <c r="E36" s="18">
        <v>43808</v>
      </c>
      <c r="F36" s="17" t="s">
        <v>23</v>
      </c>
      <c r="G36" s="17" t="s">
        <v>328</v>
      </c>
      <c r="H36" s="17" t="str">
        <f>IFERROR(_xlfn.XLOOKUP(G36,'Master Gender'!$B$2:$B$3,'Master Gender'!$A$2:$A$3),"")</f>
        <v>Laki-Laki</v>
      </c>
      <c r="I36" s="17" t="s">
        <v>14</v>
      </c>
      <c r="J36" s="19">
        <v>35154</v>
      </c>
      <c r="K36" s="17">
        <f t="shared" si="0"/>
        <v>29</v>
      </c>
      <c r="L36" s="20">
        <v>0.61</v>
      </c>
      <c r="M36" s="17" t="str">
        <f>IFERROR(_xlfn.XLOOKUP(A36,'Master Position'!$B$2:$B$124,'Master Position'!$A$2:$A$124),"")</f>
        <v>Production</v>
      </c>
      <c r="N36" s="17" t="str">
        <f>IFERROR(_xlfn.XLOOKUP(A36,'Master Position'!$B$2:$B$124,'Master Position'!$C$2:$C$124),"")</f>
        <v>Supervisor</v>
      </c>
      <c r="O36" s="17" t="str">
        <f>IFERROR(_xlfn.XLOOKUP(N36,'Master Salary'!$B$2:$B$8,'Master Salary'!$A$2:$A$8),"")</f>
        <v>SP</v>
      </c>
      <c r="P36" s="21">
        <f>IFERROR(_xlfn.XLOOKUP(N36,'Master Salary'!$B$2:$B$8,'Master Salary'!$C$2:$C$8),"")</f>
        <v>7000000</v>
      </c>
      <c r="Q36" s="21">
        <f>IFERROR(IF(L36&gt;90%,P36*_xlfn.XLOOKUP(N36,'Master Bonus'!$A$3:$A$9,'Master Bonus'!$B$3:$B$9),0),"")</f>
        <v>0</v>
      </c>
    </row>
    <row r="37" spans="1:17" x14ac:dyDescent="0.3">
      <c r="A37" s="17" t="s">
        <v>117</v>
      </c>
      <c r="B37" s="17" t="s">
        <v>118</v>
      </c>
      <c r="C37" s="17" t="s">
        <v>14</v>
      </c>
      <c r="D37" s="17" t="s">
        <v>27</v>
      </c>
      <c r="E37" s="18">
        <v>41169</v>
      </c>
      <c r="F37" s="17" t="s">
        <v>23</v>
      </c>
      <c r="G37" s="17" t="s">
        <v>327</v>
      </c>
      <c r="H37" s="17" t="str">
        <f>IFERROR(_xlfn.XLOOKUP(G37,'Master Gender'!$B$2:$B$3,'Master Gender'!$A$2:$A$3),"")</f>
        <v>Perempuan</v>
      </c>
      <c r="I37" s="17" t="s">
        <v>24</v>
      </c>
      <c r="J37" s="19">
        <v>31334</v>
      </c>
      <c r="K37" s="17">
        <f t="shared" si="0"/>
        <v>40</v>
      </c>
      <c r="L37" s="20">
        <v>0.84</v>
      </c>
      <c r="M37" s="17" t="str">
        <f>IFERROR(_xlfn.XLOOKUP(A37,'Master Position'!$B$2:$B$124,'Master Position'!$A$2:$A$124),"")</f>
        <v>Production</v>
      </c>
      <c r="N37" s="17" t="str">
        <f>IFERROR(_xlfn.XLOOKUP(A37,'Master Position'!$B$2:$B$124,'Master Position'!$C$2:$C$124),"")</f>
        <v>Junior Manager</v>
      </c>
      <c r="O37" s="17" t="str">
        <f>IFERROR(_xlfn.XLOOKUP(N37,'Master Salary'!$B$2:$B$8,'Master Salary'!$A$2:$A$8),"")</f>
        <v>JM</v>
      </c>
      <c r="P37" s="21">
        <f>IFERROR(_xlfn.XLOOKUP(N37,'Master Salary'!$B$2:$B$8,'Master Salary'!$C$2:$C$8),"")</f>
        <v>12000000</v>
      </c>
      <c r="Q37" s="21">
        <f>IFERROR(IF(L37&gt;90%,P37*_xlfn.XLOOKUP(N37,'Master Bonus'!$A$3:$A$9,'Master Bonus'!$B$3:$B$9),0),"")</f>
        <v>0</v>
      </c>
    </row>
    <row r="38" spans="1:17" x14ac:dyDescent="0.3">
      <c r="A38" s="17" t="s">
        <v>119</v>
      </c>
      <c r="B38" s="17" t="s">
        <v>120</v>
      </c>
      <c r="C38" s="17" t="s">
        <v>14</v>
      </c>
      <c r="D38" s="17" t="s">
        <v>27</v>
      </c>
      <c r="E38" s="18">
        <v>40910</v>
      </c>
      <c r="F38" s="17" t="s">
        <v>23</v>
      </c>
      <c r="G38" s="17" t="s">
        <v>327</v>
      </c>
      <c r="H38" s="17" t="str">
        <f>IFERROR(_xlfn.XLOOKUP(G38,'Master Gender'!$B$2:$B$3,'Master Gender'!$A$2:$A$3),"")</f>
        <v>Perempuan</v>
      </c>
      <c r="I38" s="17" t="s">
        <v>121</v>
      </c>
      <c r="J38" s="19">
        <v>32618</v>
      </c>
      <c r="K38" s="17">
        <f t="shared" si="0"/>
        <v>36</v>
      </c>
      <c r="L38" s="20">
        <v>0.76</v>
      </c>
      <c r="M38" s="17" t="str">
        <f>IFERROR(_xlfn.XLOOKUP(A38,'Master Position'!$B$2:$B$124,'Master Position'!$A$2:$A$124),"")</f>
        <v>Marketing</v>
      </c>
      <c r="N38" s="17" t="str">
        <f>IFERROR(_xlfn.XLOOKUP(A38,'Master Position'!$B$2:$B$124,'Master Position'!$C$2:$C$124),"")</f>
        <v>Supervisor</v>
      </c>
      <c r="O38" s="17" t="str">
        <f>IFERROR(_xlfn.XLOOKUP(N38,'Master Salary'!$B$2:$B$8,'Master Salary'!$A$2:$A$8),"")</f>
        <v>SP</v>
      </c>
      <c r="P38" s="21">
        <f>IFERROR(_xlfn.XLOOKUP(N38,'Master Salary'!$B$2:$B$8,'Master Salary'!$C$2:$C$8),"")</f>
        <v>7000000</v>
      </c>
      <c r="Q38" s="21">
        <f>IFERROR(IF(L38&gt;90%,P38*_xlfn.XLOOKUP(N38,'Master Bonus'!$A$3:$A$9,'Master Bonus'!$B$3:$B$9),0),"")</f>
        <v>0</v>
      </c>
    </row>
    <row r="39" spans="1:17" x14ac:dyDescent="0.3">
      <c r="A39" s="17" t="s">
        <v>122</v>
      </c>
      <c r="B39" s="17" t="s">
        <v>123</v>
      </c>
      <c r="C39" s="17" t="s">
        <v>14</v>
      </c>
      <c r="D39" s="17" t="s">
        <v>27</v>
      </c>
      <c r="E39" s="18">
        <v>43748</v>
      </c>
      <c r="F39" s="17" t="s">
        <v>23</v>
      </c>
      <c r="G39" s="17" t="s">
        <v>328</v>
      </c>
      <c r="H39" s="17" t="str">
        <f>IFERROR(_xlfn.XLOOKUP(G39,'Master Gender'!$B$2:$B$3,'Master Gender'!$A$2:$A$3),"")</f>
        <v>Laki-Laki</v>
      </c>
      <c r="I39" s="17" t="s">
        <v>124</v>
      </c>
      <c r="J39" s="19">
        <v>33061</v>
      </c>
      <c r="K39" s="17">
        <f t="shared" si="0"/>
        <v>35</v>
      </c>
      <c r="L39" s="20">
        <v>0.89</v>
      </c>
      <c r="M39" s="17" t="str">
        <f>IFERROR(_xlfn.XLOOKUP(A39,'Master Position'!$B$2:$B$124,'Master Position'!$A$2:$A$124),"")</f>
        <v>Production</v>
      </c>
      <c r="N39" s="17" t="str">
        <f>IFERROR(_xlfn.XLOOKUP(A39,'Master Position'!$B$2:$B$124,'Master Position'!$C$2:$C$124),"")</f>
        <v>Staff</v>
      </c>
      <c r="O39" s="17" t="str">
        <f>IFERROR(_xlfn.XLOOKUP(N39,'Master Salary'!$B$2:$B$8,'Master Salary'!$A$2:$A$8),"")</f>
        <v>ST</v>
      </c>
      <c r="P39" s="21">
        <f>IFERROR(_xlfn.XLOOKUP(N39,'Master Salary'!$B$2:$B$8,'Master Salary'!$C$2:$C$8),"")</f>
        <v>4000000</v>
      </c>
      <c r="Q39" s="21">
        <f>IFERROR(IF(L39&gt;90%,P39*_xlfn.XLOOKUP(N39,'Master Bonus'!$A$3:$A$9,'Master Bonus'!$B$3:$B$9),0),"")</f>
        <v>0</v>
      </c>
    </row>
    <row r="40" spans="1:17" x14ac:dyDescent="0.3">
      <c r="A40" s="17" t="s">
        <v>125</v>
      </c>
      <c r="B40" s="17" t="s">
        <v>126</v>
      </c>
      <c r="C40" s="17" t="s">
        <v>127</v>
      </c>
      <c r="D40" s="17" t="s">
        <v>15</v>
      </c>
      <c r="E40" s="18">
        <v>44594</v>
      </c>
      <c r="F40" s="17" t="s">
        <v>23</v>
      </c>
      <c r="G40" s="17" t="s">
        <v>328</v>
      </c>
      <c r="H40" s="17" t="str">
        <f>IFERROR(_xlfn.XLOOKUP(G40,'Master Gender'!$B$2:$B$3,'Master Gender'!$A$2:$A$3),"")</f>
        <v>Laki-Laki</v>
      </c>
      <c r="I40" s="17" t="s">
        <v>127</v>
      </c>
      <c r="J40" s="19">
        <v>33426</v>
      </c>
      <c r="K40" s="17">
        <f t="shared" si="0"/>
        <v>34</v>
      </c>
      <c r="L40" s="20">
        <v>0.73</v>
      </c>
      <c r="M40" s="17" t="str">
        <f>IFERROR(_xlfn.XLOOKUP(A40,'Master Position'!$B$2:$B$124,'Master Position'!$A$2:$A$124),"")</f>
        <v>Human Resources</v>
      </c>
      <c r="N40" s="17" t="str">
        <f>IFERROR(_xlfn.XLOOKUP(A40,'Master Position'!$B$2:$B$124,'Master Position'!$C$2:$C$124),"")</f>
        <v>Supervisor</v>
      </c>
      <c r="O40" s="17" t="str">
        <f>IFERROR(_xlfn.XLOOKUP(N40,'Master Salary'!$B$2:$B$8,'Master Salary'!$A$2:$A$8),"")</f>
        <v>SP</v>
      </c>
      <c r="P40" s="21">
        <f>IFERROR(_xlfn.XLOOKUP(N40,'Master Salary'!$B$2:$B$8,'Master Salary'!$C$2:$C$8),"")</f>
        <v>7000000</v>
      </c>
      <c r="Q40" s="21">
        <f>IFERROR(IF(L40&gt;90%,P40*_xlfn.XLOOKUP(N40,'Master Bonus'!$A$3:$A$9,'Master Bonus'!$B$3:$B$9),0),"")</f>
        <v>0</v>
      </c>
    </row>
    <row r="41" spans="1:17" x14ac:dyDescent="0.3">
      <c r="A41" s="17" t="s">
        <v>128</v>
      </c>
      <c r="B41" s="17" t="s">
        <v>129</v>
      </c>
      <c r="C41" s="17" t="s">
        <v>127</v>
      </c>
      <c r="D41" s="17" t="s">
        <v>15</v>
      </c>
      <c r="E41" s="18">
        <v>44594</v>
      </c>
      <c r="F41" s="17" t="s">
        <v>23</v>
      </c>
      <c r="G41" s="17" t="s">
        <v>327</v>
      </c>
      <c r="H41" s="17" t="str">
        <f>IFERROR(_xlfn.XLOOKUP(G41,'Master Gender'!$B$2:$B$3,'Master Gender'!$A$2:$A$3),"")</f>
        <v>Perempuan</v>
      </c>
      <c r="I41" s="17" t="s">
        <v>127</v>
      </c>
      <c r="J41" s="19">
        <v>33426</v>
      </c>
      <c r="K41" s="17">
        <f t="shared" si="0"/>
        <v>34</v>
      </c>
      <c r="L41" s="20">
        <v>0.8</v>
      </c>
      <c r="M41" s="17" t="str">
        <f>IFERROR(_xlfn.XLOOKUP(A41,'Master Position'!$B$2:$B$124,'Master Position'!$A$2:$A$124),"")</f>
        <v>Marketing</v>
      </c>
      <c r="N41" s="17" t="str">
        <f>IFERROR(_xlfn.XLOOKUP(A41,'Master Position'!$B$2:$B$124,'Master Position'!$C$2:$C$124),"")</f>
        <v>Supervisor</v>
      </c>
      <c r="O41" s="17" t="str">
        <f>IFERROR(_xlfn.XLOOKUP(N41,'Master Salary'!$B$2:$B$8,'Master Salary'!$A$2:$A$8),"")</f>
        <v>SP</v>
      </c>
      <c r="P41" s="21">
        <f>IFERROR(_xlfn.XLOOKUP(N41,'Master Salary'!$B$2:$B$8,'Master Salary'!$C$2:$C$8),"")</f>
        <v>7000000</v>
      </c>
      <c r="Q41" s="21">
        <f>IFERROR(IF(L41&gt;90%,P41*_xlfn.XLOOKUP(N41,'Master Bonus'!$A$3:$A$9,'Master Bonus'!$B$3:$B$9),0),"")</f>
        <v>0</v>
      </c>
    </row>
    <row r="42" spans="1:17" x14ac:dyDescent="0.3">
      <c r="A42" s="17" t="s">
        <v>130</v>
      </c>
      <c r="B42" s="17" t="s">
        <v>131</v>
      </c>
      <c r="C42" s="17" t="s">
        <v>14</v>
      </c>
      <c r="D42" s="17" t="s">
        <v>15</v>
      </c>
      <c r="E42" s="18">
        <v>42401</v>
      </c>
      <c r="F42" s="17" t="s">
        <v>23</v>
      </c>
      <c r="G42" s="17" t="s">
        <v>328</v>
      </c>
      <c r="H42" s="17" t="str">
        <f>IFERROR(_xlfn.XLOOKUP(G42,'Master Gender'!$B$2:$B$3,'Master Gender'!$A$2:$A$3),"")</f>
        <v>Laki-Laki</v>
      </c>
      <c r="I42" s="17" t="s">
        <v>133</v>
      </c>
      <c r="J42" s="19">
        <v>29276</v>
      </c>
      <c r="K42" s="17">
        <f t="shared" si="0"/>
        <v>45</v>
      </c>
      <c r="L42" s="20">
        <v>0.73</v>
      </c>
      <c r="M42" s="17" t="str">
        <f>IFERROR(_xlfn.XLOOKUP(A42,'Master Position'!$B$2:$B$124,'Master Position'!$A$2:$A$124),"")</f>
        <v>Human Resources</v>
      </c>
      <c r="N42" s="17" t="str">
        <f>IFERROR(_xlfn.XLOOKUP(A42,'Master Position'!$B$2:$B$124,'Master Position'!$C$2:$C$124),"")</f>
        <v>CEO</v>
      </c>
      <c r="O42" s="17" t="str">
        <f>IFERROR(_xlfn.XLOOKUP(N42,'Master Salary'!$B$2:$B$8,'Master Salary'!$A$2:$A$8),"")</f>
        <v>CE</v>
      </c>
      <c r="P42" s="21">
        <f>IFERROR(_xlfn.XLOOKUP(N42,'Master Salary'!$B$2:$B$8,'Master Salary'!$C$2:$C$8),"")</f>
        <v>40000000</v>
      </c>
      <c r="Q42" s="21">
        <f>IFERROR(IF(L42&gt;90%,P42*_xlfn.XLOOKUP(N42,'Master Bonus'!$A$3:$A$9,'Master Bonus'!$B$3:$B$9),0),"")</f>
        <v>0</v>
      </c>
    </row>
    <row r="43" spans="1:17" x14ac:dyDescent="0.3">
      <c r="A43" s="17" t="s">
        <v>134</v>
      </c>
      <c r="B43" s="17" t="s">
        <v>135</v>
      </c>
      <c r="C43" s="17" t="s">
        <v>14</v>
      </c>
      <c r="D43" s="17" t="s">
        <v>27</v>
      </c>
      <c r="E43" s="18">
        <v>42410</v>
      </c>
      <c r="F43" s="17" t="s">
        <v>23</v>
      </c>
      <c r="G43" s="17" t="s">
        <v>328</v>
      </c>
      <c r="H43" s="17" t="str">
        <f>IFERROR(_xlfn.XLOOKUP(G43,'Master Gender'!$B$2:$B$3,'Master Gender'!$A$2:$A$3),"")</f>
        <v>Laki-Laki</v>
      </c>
      <c r="I43" s="17" t="s">
        <v>14</v>
      </c>
      <c r="J43" s="19">
        <v>32583</v>
      </c>
      <c r="K43" s="17">
        <f t="shared" si="0"/>
        <v>36</v>
      </c>
      <c r="L43" s="20">
        <v>0.84</v>
      </c>
      <c r="M43" s="17" t="str">
        <f>IFERROR(_xlfn.XLOOKUP(A43,'Master Position'!$B$2:$B$124,'Master Position'!$A$2:$A$124),"")</f>
        <v>Marketing</v>
      </c>
      <c r="N43" s="17" t="str">
        <f>IFERROR(_xlfn.XLOOKUP(A43,'Master Position'!$B$2:$B$124,'Master Position'!$C$2:$C$124),"")</f>
        <v>Staff</v>
      </c>
      <c r="O43" s="17" t="str">
        <f>IFERROR(_xlfn.XLOOKUP(N43,'Master Salary'!$B$2:$B$8,'Master Salary'!$A$2:$A$8),"")</f>
        <v>ST</v>
      </c>
      <c r="P43" s="21">
        <f>IFERROR(_xlfn.XLOOKUP(N43,'Master Salary'!$B$2:$B$8,'Master Salary'!$C$2:$C$8),"")</f>
        <v>4000000</v>
      </c>
      <c r="Q43" s="21">
        <f>IFERROR(IF(L43&gt;90%,P43*_xlfn.XLOOKUP(N43,'Master Bonus'!$A$3:$A$9,'Master Bonus'!$B$3:$B$9),0),"")</f>
        <v>0</v>
      </c>
    </row>
    <row r="44" spans="1:17" x14ac:dyDescent="0.3">
      <c r="A44" s="17" t="s">
        <v>136</v>
      </c>
      <c r="B44" s="17" t="s">
        <v>137</v>
      </c>
      <c r="C44" s="17" t="s">
        <v>14</v>
      </c>
      <c r="D44" s="17" t="s">
        <v>27</v>
      </c>
      <c r="E44" s="18">
        <v>42410</v>
      </c>
      <c r="F44" s="17" t="s">
        <v>23</v>
      </c>
      <c r="G44" s="17" t="s">
        <v>327</v>
      </c>
      <c r="H44" s="17" t="str">
        <f>IFERROR(_xlfn.XLOOKUP(G44,'Master Gender'!$B$2:$B$3,'Master Gender'!$A$2:$A$3),"")</f>
        <v>Perempuan</v>
      </c>
      <c r="I44" s="17" t="s">
        <v>14</v>
      </c>
      <c r="J44" s="19">
        <v>32583</v>
      </c>
      <c r="K44" s="17">
        <f t="shared" si="0"/>
        <v>36</v>
      </c>
      <c r="L44" s="20">
        <v>1</v>
      </c>
      <c r="M44" s="17" t="str">
        <f>IFERROR(_xlfn.XLOOKUP(A44,'Master Position'!$B$2:$B$124,'Master Position'!$A$2:$A$124),"")</f>
        <v>Finance</v>
      </c>
      <c r="N44" s="17" t="str">
        <f>IFERROR(_xlfn.XLOOKUP(A44,'Master Position'!$B$2:$B$124,'Master Position'!$C$2:$C$124),"")</f>
        <v>Senior Staff</v>
      </c>
      <c r="O44" s="17" t="str">
        <f>IFERROR(_xlfn.XLOOKUP(N44,'Master Salary'!$B$2:$B$8,'Master Salary'!$A$2:$A$8),"")</f>
        <v>SS</v>
      </c>
      <c r="P44" s="21">
        <f>IFERROR(_xlfn.XLOOKUP(N44,'Master Salary'!$B$2:$B$8,'Master Salary'!$C$2:$C$8),"")</f>
        <v>5000000</v>
      </c>
      <c r="Q44" s="21">
        <f>IFERROR(IF(L44&gt;90%,P44*_xlfn.XLOOKUP(N44,'Master Bonus'!$A$3:$A$9,'Master Bonus'!$B$3:$B$9),0),"")</f>
        <v>5000000</v>
      </c>
    </row>
    <row r="45" spans="1:17" x14ac:dyDescent="0.3">
      <c r="A45" s="17" t="s">
        <v>138</v>
      </c>
      <c r="B45" s="17" t="s">
        <v>139</v>
      </c>
      <c r="C45" s="17" t="s">
        <v>14</v>
      </c>
      <c r="D45" s="17" t="s">
        <v>27</v>
      </c>
      <c r="E45" s="18">
        <v>43850</v>
      </c>
      <c r="F45" s="17" t="s">
        <v>23</v>
      </c>
      <c r="G45" s="17" t="s">
        <v>327</v>
      </c>
      <c r="H45" s="17" t="str">
        <f>IFERROR(_xlfn.XLOOKUP(G45,'Master Gender'!$B$2:$B$3,'Master Gender'!$A$2:$A$3),"")</f>
        <v>Perempuan</v>
      </c>
      <c r="I45" s="17" t="s">
        <v>24</v>
      </c>
      <c r="J45" s="19">
        <v>33837</v>
      </c>
      <c r="K45" s="17">
        <f t="shared" si="0"/>
        <v>33</v>
      </c>
      <c r="L45" s="20">
        <v>0.86</v>
      </c>
      <c r="M45" s="17" t="str">
        <f>IFERROR(_xlfn.XLOOKUP(A45,'Master Position'!$B$2:$B$124,'Master Position'!$A$2:$A$124),"")</f>
        <v>Production</v>
      </c>
      <c r="N45" s="17" t="str">
        <f>IFERROR(_xlfn.XLOOKUP(A45,'Master Position'!$B$2:$B$124,'Master Position'!$C$2:$C$124),"")</f>
        <v>Senior Staff</v>
      </c>
      <c r="O45" s="17" t="str">
        <f>IFERROR(_xlfn.XLOOKUP(N45,'Master Salary'!$B$2:$B$8,'Master Salary'!$A$2:$A$8),"")</f>
        <v>SS</v>
      </c>
      <c r="P45" s="21">
        <f>IFERROR(_xlfn.XLOOKUP(N45,'Master Salary'!$B$2:$B$8,'Master Salary'!$C$2:$C$8),"")</f>
        <v>5000000</v>
      </c>
      <c r="Q45" s="21">
        <f>IFERROR(IF(L45&gt;90%,P45*_xlfn.XLOOKUP(N45,'Master Bonus'!$A$3:$A$9,'Master Bonus'!$B$3:$B$9),0),"")</f>
        <v>0</v>
      </c>
    </row>
    <row r="46" spans="1:17" x14ac:dyDescent="0.3">
      <c r="A46" s="17" t="s">
        <v>140</v>
      </c>
      <c r="B46" s="17" t="s">
        <v>141</v>
      </c>
      <c r="C46" s="17" t="s">
        <v>142</v>
      </c>
      <c r="D46" s="17" t="s">
        <v>15</v>
      </c>
      <c r="E46" s="18">
        <v>41323</v>
      </c>
      <c r="F46" s="17" t="s">
        <v>23</v>
      </c>
      <c r="G46" s="17" t="s">
        <v>328</v>
      </c>
      <c r="H46" s="17" t="str">
        <f>IFERROR(_xlfn.XLOOKUP(G46,'Master Gender'!$B$2:$B$3,'Master Gender'!$A$2:$A$3),"")</f>
        <v>Laki-Laki</v>
      </c>
      <c r="I46" s="17" t="s">
        <v>143</v>
      </c>
      <c r="J46" s="19">
        <v>31512</v>
      </c>
      <c r="K46" s="17">
        <f t="shared" si="0"/>
        <v>39</v>
      </c>
      <c r="L46" s="20">
        <v>0.76</v>
      </c>
      <c r="M46" s="17" t="str">
        <f>IFERROR(_xlfn.XLOOKUP(A46,'Master Position'!$B$2:$B$124,'Master Position'!$A$2:$A$124),"")</f>
        <v>Marketing</v>
      </c>
      <c r="N46" s="17" t="str">
        <f>IFERROR(_xlfn.XLOOKUP(A46,'Master Position'!$B$2:$B$124,'Master Position'!$C$2:$C$124),"")</f>
        <v>Supervisor</v>
      </c>
      <c r="O46" s="17" t="str">
        <f>IFERROR(_xlfn.XLOOKUP(N46,'Master Salary'!$B$2:$B$8,'Master Salary'!$A$2:$A$8),"")</f>
        <v>SP</v>
      </c>
      <c r="P46" s="21">
        <f>IFERROR(_xlfn.XLOOKUP(N46,'Master Salary'!$B$2:$B$8,'Master Salary'!$C$2:$C$8),"")</f>
        <v>7000000</v>
      </c>
      <c r="Q46" s="21">
        <f>IFERROR(IF(L46&gt;90%,P46*_xlfn.XLOOKUP(N46,'Master Bonus'!$A$3:$A$9,'Master Bonus'!$B$3:$B$9),0),"")</f>
        <v>0</v>
      </c>
    </row>
    <row r="47" spans="1:17" x14ac:dyDescent="0.3">
      <c r="A47" s="17" t="s">
        <v>144</v>
      </c>
      <c r="B47" s="17" t="s">
        <v>145</v>
      </c>
      <c r="C47" s="17" t="s">
        <v>14</v>
      </c>
      <c r="D47" s="17" t="s">
        <v>15</v>
      </c>
      <c r="E47" s="18">
        <v>40644</v>
      </c>
      <c r="F47" s="17" t="s">
        <v>23</v>
      </c>
      <c r="G47" s="17" t="s">
        <v>327</v>
      </c>
      <c r="H47" s="17" t="str">
        <f>IFERROR(_xlfn.XLOOKUP(G47,'Master Gender'!$B$2:$B$3,'Master Gender'!$A$2:$A$3),"")</f>
        <v>Perempuan</v>
      </c>
      <c r="I47" s="17" t="s">
        <v>146</v>
      </c>
      <c r="J47" s="19">
        <v>31849</v>
      </c>
      <c r="K47" s="17">
        <f t="shared" si="0"/>
        <v>38</v>
      </c>
      <c r="L47" s="20">
        <v>0.95</v>
      </c>
      <c r="M47" s="17" t="str">
        <f>IFERROR(_xlfn.XLOOKUP(A47,'Master Position'!$B$2:$B$124,'Master Position'!$A$2:$A$124),"")</f>
        <v>Human Resources</v>
      </c>
      <c r="N47" s="17" t="str">
        <f>IFERROR(_xlfn.XLOOKUP(A47,'Master Position'!$B$2:$B$124,'Master Position'!$C$2:$C$124),"")</f>
        <v>Supervisor</v>
      </c>
      <c r="O47" s="17" t="str">
        <f>IFERROR(_xlfn.XLOOKUP(N47,'Master Salary'!$B$2:$B$8,'Master Salary'!$A$2:$A$8),"")</f>
        <v>SP</v>
      </c>
      <c r="P47" s="21">
        <f>IFERROR(_xlfn.XLOOKUP(N47,'Master Salary'!$B$2:$B$8,'Master Salary'!$C$2:$C$8),"")</f>
        <v>7000000</v>
      </c>
      <c r="Q47" s="21">
        <f>IFERROR(IF(L47&gt;90%,P47*_xlfn.XLOOKUP(N47,'Master Bonus'!$A$3:$A$9,'Master Bonus'!$B$3:$B$9),0),"")</f>
        <v>7000000</v>
      </c>
    </row>
    <row r="48" spans="1:17" x14ac:dyDescent="0.3">
      <c r="A48" s="17" t="s">
        <v>147</v>
      </c>
      <c r="B48" s="17" t="s">
        <v>148</v>
      </c>
      <c r="C48" s="17" t="s">
        <v>14</v>
      </c>
      <c r="D48" s="17" t="s">
        <v>27</v>
      </c>
      <c r="E48" s="18">
        <v>38117</v>
      </c>
      <c r="F48" s="17" t="s">
        <v>23</v>
      </c>
      <c r="G48" s="17" t="s">
        <v>328</v>
      </c>
      <c r="H48" s="17" t="str">
        <f>IFERROR(_xlfn.XLOOKUP(G48,'Master Gender'!$B$2:$B$3,'Master Gender'!$A$2:$A$3),"")</f>
        <v>Laki-Laki</v>
      </c>
      <c r="I48" s="17" t="s">
        <v>14</v>
      </c>
      <c r="J48" s="19">
        <v>27615</v>
      </c>
      <c r="K48" s="17">
        <f t="shared" si="0"/>
        <v>50</v>
      </c>
      <c r="L48" s="20">
        <v>0.73</v>
      </c>
      <c r="M48" s="17" t="str">
        <f>IFERROR(_xlfn.XLOOKUP(A48,'Master Position'!$B$2:$B$124,'Master Position'!$A$2:$A$124),"")</f>
        <v>Finance</v>
      </c>
      <c r="N48" s="17" t="str">
        <f>IFERROR(_xlfn.XLOOKUP(A48,'Master Position'!$B$2:$B$124,'Master Position'!$C$2:$C$124),"")</f>
        <v>Senior Staff</v>
      </c>
      <c r="O48" s="17" t="str">
        <f>IFERROR(_xlfn.XLOOKUP(N48,'Master Salary'!$B$2:$B$8,'Master Salary'!$A$2:$A$8),"")</f>
        <v>SS</v>
      </c>
      <c r="P48" s="21">
        <f>IFERROR(_xlfn.XLOOKUP(N48,'Master Salary'!$B$2:$B$8,'Master Salary'!$C$2:$C$8),"")</f>
        <v>5000000</v>
      </c>
      <c r="Q48" s="21">
        <f>IFERROR(IF(L48&gt;90%,P48*_xlfn.XLOOKUP(N48,'Master Bonus'!$A$3:$A$9,'Master Bonus'!$B$3:$B$9),0),"")</f>
        <v>0</v>
      </c>
    </row>
    <row r="49" spans="1:17" x14ac:dyDescent="0.3">
      <c r="A49" s="17" t="s">
        <v>149</v>
      </c>
      <c r="B49" s="17" t="s">
        <v>150</v>
      </c>
      <c r="C49" s="17" t="s">
        <v>14</v>
      </c>
      <c r="D49" s="17" t="s">
        <v>27</v>
      </c>
      <c r="E49" s="18">
        <v>38838</v>
      </c>
      <c r="F49" s="17" t="s">
        <v>23</v>
      </c>
      <c r="G49" s="17" t="s">
        <v>328</v>
      </c>
      <c r="H49" s="17" t="str">
        <f>IFERROR(_xlfn.XLOOKUP(G49,'Master Gender'!$B$2:$B$3,'Master Gender'!$A$2:$A$3),"")</f>
        <v>Laki-Laki</v>
      </c>
      <c r="I49" s="17" t="s">
        <v>14</v>
      </c>
      <c r="J49" s="19">
        <v>28902</v>
      </c>
      <c r="K49" s="17">
        <f t="shared" si="0"/>
        <v>46</v>
      </c>
      <c r="L49" s="20">
        <v>0.87</v>
      </c>
      <c r="M49" s="17" t="str">
        <f>IFERROR(_xlfn.XLOOKUP(A49,'Master Position'!$B$2:$B$124,'Master Position'!$A$2:$A$124),"")</f>
        <v>Finance</v>
      </c>
      <c r="N49" s="17" t="str">
        <f>IFERROR(_xlfn.XLOOKUP(A49,'Master Position'!$B$2:$B$124,'Master Position'!$C$2:$C$124),"")</f>
        <v>Staff</v>
      </c>
      <c r="O49" s="17" t="str">
        <f>IFERROR(_xlfn.XLOOKUP(N49,'Master Salary'!$B$2:$B$8,'Master Salary'!$A$2:$A$8),"")</f>
        <v>ST</v>
      </c>
      <c r="P49" s="21">
        <f>IFERROR(_xlfn.XLOOKUP(N49,'Master Salary'!$B$2:$B$8,'Master Salary'!$C$2:$C$8),"")</f>
        <v>4000000</v>
      </c>
      <c r="Q49" s="21">
        <f>IFERROR(IF(L49&gt;90%,P49*_xlfn.XLOOKUP(N49,'Master Bonus'!$A$3:$A$9,'Master Bonus'!$B$3:$B$9),0),"")</f>
        <v>0</v>
      </c>
    </row>
    <row r="50" spans="1:17" x14ac:dyDescent="0.3">
      <c r="A50" s="17" t="s">
        <v>151</v>
      </c>
      <c r="B50" s="17" t="s">
        <v>152</v>
      </c>
      <c r="C50" s="17" t="s">
        <v>14</v>
      </c>
      <c r="D50" s="17" t="s">
        <v>27</v>
      </c>
      <c r="E50" s="18">
        <v>36678</v>
      </c>
      <c r="F50" s="17" t="s">
        <v>23</v>
      </c>
      <c r="G50" s="17" t="s">
        <v>327</v>
      </c>
      <c r="H50" s="17" t="str">
        <f>IFERROR(_xlfn.XLOOKUP(G50,'Master Gender'!$B$2:$B$3,'Master Gender'!$A$2:$A$3),"")</f>
        <v>Perempuan</v>
      </c>
      <c r="I50" s="17" t="s">
        <v>14</v>
      </c>
      <c r="J50" s="19">
        <v>26238</v>
      </c>
      <c r="K50" s="17">
        <f t="shared" si="0"/>
        <v>54</v>
      </c>
      <c r="L50" s="20">
        <v>0.71</v>
      </c>
      <c r="M50" s="17" t="str">
        <f>IFERROR(_xlfn.XLOOKUP(A50,'Master Position'!$B$2:$B$124,'Master Position'!$A$2:$A$124),"")</f>
        <v>Production</v>
      </c>
      <c r="N50" s="17" t="str">
        <f>IFERROR(_xlfn.XLOOKUP(A50,'Master Position'!$B$2:$B$124,'Master Position'!$C$2:$C$124),"")</f>
        <v>Senior Staff</v>
      </c>
      <c r="O50" s="17" t="str">
        <f>IFERROR(_xlfn.XLOOKUP(N50,'Master Salary'!$B$2:$B$8,'Master Salary'!$A$2:$A$8),"")</f>
        <v>SS</v>
      </c>
      <c r="P50" s="21">
        <f>IFERROR(_xlfn.XLOOKUP(N50,'Master Salary'!$B$2:$B$8,'Master Salary'!$C$2:$C$8),"")</f>
        <v>5000000</v>
      </c>
      <c r="Q50" s="21">
        <f>IFERROR(IF(L50&gt;90%,P50*_xlfn.XLOOKUP(N50,'Master Bonus'!$A$3:$A$9,'Master Bonus'!$B$3:$B$9),0),"")</f>
        <v>0</v>
      </c>
    </row>
    <row r="51" spans="1:17" x14ac:dyDescent="0.3">
      <c r="A51" s="17" t="s">
        <v>153</v>
      </c>
      <c r="B51" s="17" t="s">
        <v>154</v>
      </c>
      <c r="C51" s="17" t="s">
        <v>14</v>
      </c>
      <c r="D51" s="17" t="s">
        <v>27</v>
      </c>
      <c r="E51" s="18">
        <v>45352</v>
      </c>
      <c r="F51" s="17" t="s">
        <v>23</v>
      </c>
      <c r="G51" s="17" t="s">
        <v>328</v>
      </c>
      <c r="H51" s="17" t="str">
        <f>IFERROR(_xlfn.XLOOKUP(G51,'Master Gender'!$B$2:$B$3,'Master Gender'!$A$2:$A$3),"")</f>
        <v>Laki-Laki</v>
      </c>
      <c r="I51" s="17" t="s">
        <v>14</v>
      </c>
      <c r="J51" s="19">
        <v>34745</v>
      </c>
      <c r="K51" s="17">
        <f t="shared" si="0"/>
        <v>30</v>
      </c>
      <c r="L51" s="20">
        <v>0.66</v>
      </c>
      <c r="M51" s="17" t="str">
        <f>IFERROR(_xlfn.XLOOKUP(A51,'Master Position'!$B$2:$B$124,'Master Position'!$A$2:$A$124),"")</f>
        <v>Finance</v>
      </c>
      <c r="N51" s="17" t="str">
        <f>IFERROR(_xlfn.XLOOKUP(A51,'Master Position'!$B$2:$B$124,'Master Position'!$C$2:$C$124),"")</f>
        <v>Supervisor</v>
      </c>
      <c r="O51" s="17" t="str">
        <f>IFERROR(_xlfn.XLOOKUP(N51,'Master Salary'!$B$2:$B$8,'Master Salary'!$A$2:$A$8),"")</f>
        <v>SP</v>
      </c>
      <c r="P51" s="21">
        <f>IFERROR(_xlfn.XLOOKUP(N51,'Master Salary'!$B$2:$B$8,'Master Salary'!$C$2:$C$8),"")</f>
        <v>7000000</v>
      </c>
      <c r="Q51" s="21">
        <f>IFERROR(IF(L51&gt;90%,P51*_xlfn.XLOOKUP(N51,'Master Bonus'!$A$3:$A$9,'Master Bonus'!$B$3:$B$9),0),"")</f>
        <v>0</v>
      </c>
    </row>
    <row r="52" spans="1:17" x14ac:dyDescent="0.3">
      <c r="A52" s="17" t="s">
        <v>155</v>
      </c>
      <c r="B52" s="17" t="s">
        <v>156</v>
      </c>
      <c r="C52" s="17" t="s">
        <v>14</v>
      </c>
      <c r="D52" s="17" t="s">
        <v>27</v>
      </c>
      <c r="E52" s="18">
        <v>45352</v>
      </c>
      <c r="F52" s="17" t="s">
        <v>23</v>
      </c>
      <c r="G52" s="17" t="s">
        <v>328</v>
      </c>
      <c r="H52" s="17" t="str">
        <f>IFERROR(_xlfn.XLOOKUP(G52,'Master Gender'!$B$2:$B$3,'Master Gender'!$A$2:$A$3),"")</f>
        <v>Laki-Laki</v>
      </c>
      <c r="I52" s="17" t="s">
        <v>14</v>
      </c>
      <c r="J52" s="19">
        <v>34745</v>
      </c>
      <c r="K52" s="17">
        <f t="shared" si="0"/>
        <v>30</v>
      </c>
      <c r="L52" s="20">
        <v>0.88</v>
      </c>
      <c r="M52" s="17" t="str">
        <f>IFERROR(_xlfn.XLOOKUP(A52,'Master Position'!$B$2:$B$124,'Master Position'!$A$2:$A$124),"")</f>
        <v>Finance</v>
      </c>
      <c r="N52" s="17" t="str">
        <f>IFERROR(_xlfn.XLOOKUP(A52,'Master Position'!$B$2:$B$124,'Master Position'!$C$2:$C$124),"")</f>
        <v>Staff</v>
      </c>
      <c r="O52" s="17" t="str">
        <f>IFERROR(_xlfn.XLOOKUP(N52,'Master Salary'!$B$2:$B$8,'Master Salary'!$A$2:$A$8),"")</f>
        <v>ST</v>
      </c>
      <c r="P52" s="21">
        <f>IFERROR(_xlfn.XLOOKUP(N52,'Master Salary'!$B$2:$B$8,'Master Salary'!$C$2:$C$8),"")</f>
        <v>4000000</v>
      </c>
      <c r="Q52" s="21">
        <f>IFERROR(IF(L52&gt;90%,P52*_xlfn.XLOOKUP(N52,'Master Bonus'!$A$3:$A$9,'Master Bonus'!$B$3:$B$9),0),"")</f>
        <v>0</v>
      </c>
    </row>
    <row r="53" spans="1:17" x14ac:dyDescent="0.3">
      <c r="A53" s="17" t="s">
        <v>157</v>
      </c>
      <c r="B53" s="17" t="s">
        <v>158</v>
      </c>
      <c r="C53" s="17" t="s">
        <v>14</v>
      </c>
      <c r="D53" s="17" t="s">
        <v>15</v>
      </c>
      <c r="E53" s="18">
        <v>43710</v>
      </c>
      <c r="F53" s="17" t="s">
        <v>23</v>
      </c>
      <c r="G53" s="17" t="s">
        <v>328</v>
      </c>
      <c r="H53" s="17" t="str">
        <f>IFERROR(_xlfn.XLOOKUP(G53,'Master Gender'!$B$2:$B$3,'Master Gender'!$A$2:$A$3),"")</f>
        <v>Laki-Laki</v>
      </c>
      <c r="I53" s="17" t="s">
        <v>159</v>
      </c>
      <c r="J53" s="19">
        <v>34209</v>
      </c>
      <c r="K53" s="17">
        <f t="shared" si="0"/>
        <v>32</v>
      </c>
      <c r="L53" s="20">
        <v>0.91</v>
      </c>
      <c r="M53" s="17" t="str">
        <f>IFERROR(_xlfn.XLOOKUP(A53,'Master Position'!$B$2:$B$124,'Master Position'!$A$2:$A$124),"")</f>
        <v>Marketing</v>
      </c>
      <c r="N53" s="17" t="str">
        <f>IFERROR(_xlfn.XLOOKUP(A53,'Master Position'!$B$2:$B$124,'Master Position'!$C$2:$C$124),"")</f>
        <v>Senior Staff</v>
      </c>
      <c r="O53" s="17" t="str">
        <f>IFERROR(_xlfn.XLOOKUP(N53,'Master Salary'!$B$2:$B$8,'Master Salary'!$A$2:$A$8),"")</f>
        <v>SS</v>
      </c>
      <c r="P53" s="21">
        <f>IFERROR(_xlfn.XLOOKUP(N53,'Master Salary'!$B$2:$B$8,'Master Salary'!$C$2:$C$8),"")</f>
        <v>5000000</v>
      </c>
      <c r="Q53" s="21">
        <f>IFERROR(IF(L53&gt;90%,P53*_xlfn.XLOOKUP(N53,'Master Bonus'!$A$3:$A$9,'Master Bonus'!$B$3:$B$9),0),"")</f>
        <v>5000000</v>
      </c>
    </row>
    <row r="54" spans="1:17" x14ac:dyDescent="0.3">
      <c r="A54" s="17" t="s">
        <v>160</v>
      </c>
      <c r="B54" s="17" t="s">
        <v>161</v>
      </c>
      <c r="C54" s="17" t="s">
        <v>63</v>
      </c>
      <c r="D54" s="17" t="s">
        <v>27</v>
      </c>
      <c r="E54" s="18">
        <v>43283</v>
      </c>
      <c r="F54" s="17" t="s">
        <v>23</v>
      </c>
      <c r="G54" s="17" t="s">
        <v>328</v>
      </c>
      <c r="H54" s="17" t="str">
        <f>IFERROR(_xlfn.XLOOKUP(G54,'Master Gender'!$B$2:$B$3,'Master Gender'!$A$2:$A$3),"")</f>
        <v>Laki-Laki</v>
      </c>
      <c r="I54" s="17" t="s">
        <v>162</v>
      </c>
      <c r="J54" s="19">
        <v>33790</v>
      </c>
      <c r="K54" s="17">
        <f t="shared" si="0"/>
        <v>33</v>
      </c>
      <c r="L54" s="20">
        <v>0.79</v>
      </c>
      <c r="M54" s="17" t="str">
        <f>IFERROR(_xlfn.XLOOKUP(A54,'Master Position'!$B$2:$B$124,'Master Position'!$A$2:$A$124),"")</f>
        <v>Production</v>
      </c>
      <c r="N54" s="17" t="str">
        <f>IFERROR(_xlfn.XLOOKUP(A54,'Master Position'!$B$2:$B$124,'Master Position'!$C$2:$C$124),"")</f>
        <v>Junior Manager</v>
      </c>
      <c r="O54" s="17" t="str">
        <f>IFERROR(_xlfn.XLOOKUP(N54,'Master Salary'!$B$2:$B$8,'Master Salary'!$A$2:$A$8),"")</f>
        <v>JM</v>
      </c>
      <c r="P54" s="21">
        <f>IFERROR(_xlfn.XLOOKUP(N54,'Master Salary'!$B$2:$B$8,'Master Salary'!$C$2:$C$8),"")</f>
        <v>12000000</v>
      </c>
      <c r="Q54" s="21">
        <f>IFERROR(IF(L54&gt;90%,P54*_xlfn.XLOOKUP(N54,'Master Bonus'!$A$3:$A$9,'Master Bonus'!$B$3:$B$9),0),"")</f>
        <v>0</v>
      </c>
    </row>
    <row r="55" spans="1:17" x14ac:dyDescent="0.3">
      <c r="A55" s="17" t="s">
        <v>163</v>
      </c>
      <c r="B55" s="17" t="s">
        <v>164</v>
      </c>
      <c r="C55" s="17" t="s">
        <v>14</v>
      </c>
      <c r="D55" s="17" t="s">
        <v>27</v>
      </c>
      <c r="E55" s="18">
        <v>45005</v>
      </c>
      <c r="F55" s="17" t="s">
        <v>23</v>
      </c>
      <c r="G55" s="17" t="s">
        <v>328</v>
      </c>
      <c r="H55" s="17" t="str">
        <f>IFERROR(_xlfn.XLOOKUP(G55,'Master Gender'!$B$2:$B$3,'Master Gender'!$A$2:$A$3),"")</f>
        <v>Laki-Laki</v>
      </c>
      <c r="I55" s="17" t="s">
        <v>14</v>
      </c>
      <c r="J55" s="19">
        <v>35351</v>
      </c>
      <c r="K55" s="17">
        <f t="shared" si="0"/>
        <v>29</v>
      </c>
      <c r="L55" s="20">
        <v>0.76</v>
      </c>
      <c r="M55" s="17" t="str">
        <f>IFERROR(_xlfn.XLOOKUP(A55,'Master Position'!$B$2:$B$124,'Master Position'!$A$2:$A$124),"")</f>
        <v>Production</v>
      </c>
      <c r="N55" s="17" t="str">
        <f>IFERROR(_xlfn.XLOOKUP(A55,'Master Position'!$B$2:$B$124,'Master Position'!$C$2:$C$124),"")</f>
        <v>Staff</v>
      </c>
      <c r="O55" s="17" t="str">
        <f>IFERROR(_xlfn.XLOOKUP(N55,'Master Salary'!$B$2:$B$8,'Master Salary'!$A$2:$A$8),"")</f>
        <v>ST</v>
      </c>
      <c r="P55" s="21">
        <f>IFERROR(_xlfn.XLOOKUP(N55,'Master Salary'!$B$2:$B$8,'Master Salary'!$C$2:$C$8),"")</f>
        <v>4000000</v>
      </c>
      <c r="Q55" s="21">
        <f>IFERROR(IF(L55&gt;90%,P55*_xlfn.XLOOKUP(N55,'Master Bonus'!$A$3:$A$9,'Master Bonus'!$B$3:$B$9),0),"")</f>
        <v>0</v>
      </c>
    </row>
    <row r="56" spans="1:17" x14ac:dyDescent="0.3">
      <c r="A56" s="17" t="s">
        <v>165</v>
      </c>
      <c r="B56" s="17" t="s">
        <v>166</v>
      </c>
      <c r="C56" s="17" t="s">
        <v>14</v>
      </c>
      <c r="D56" s="17" t="s">
        <v>15</v>
      </c>
      <c r="E56" s="18">
        <v>42583</v>
      </c>
      <c r="F56" s="17" t="s">
        <v>23</v>
      </c>
      <c r="G56" s="17" t="s">
        <v>328</v>
      </c>
      <c r="H56" s="17" t="str">
        <f>IFERROR(_xlfn.XLOOKUP(G56,'Master Gender'!$B$2:$B$3,'Master Gender'!$A$2:$A$3),"")</f>
        <v>Laki-Laki</v>
      </c>
      <c r="I56" s="17" t="s">
        <v>14</v>
      </c>
      <c r="J56" s="19">
        <v>28794</v>
      </c>
      <c r="K56" s="17">
        <f t="shared" si="0"/>
        <v>47</v>
      </c>
      <c r="L56" s="20">
        <v>0.71</v>
      </c>
      <c r="M56" s="17" t="str">
        <f>IFERROR(_xlfn.XLOOKUP(A56,'Master Position'!$B$2:$B$124,'Master Position'!$A$2:$A$124),"")</f>
        <v>Finance</v>
      </c>
      <c r="N56" s="17" t="str">
        <f>IFERROR(_xlfn.XLOOKUP(A56,'Master Position'!$B$2:$B$124,'Master Position'!$C$2:$C$124),"")</f>
        <v>General Manager</v>
      </c>
      <c r="O56" s="17" t="str">
        <f>IFERROR(_xlfn.XLOOKUP(N56,'Master Salary'!$B$2:$B$8,'Master Salary'!$A$2:$A$8),"")</f>
        <v>GM</v>
      </c>
      <c r="P56" s="21">
        <f>IFERROR(_xlfn.XLOOKUP(N56,'Master Salary'!$B$2:$B$8,'Master Salary'!$C$2:$C$8),"")</f>
        <v>25000000</v>
      </c>
      <c r="Q56" s="21">
        <f>IFERROR(IF(L56&gt;90%,P56*_xlfn.XLOOKUP(N56,'Master Bonus'!$A$3:$A$9,'Master Bonus'!$B$3:$B$9),0),"")</f>
        <v>0</v>
      </c>
    </row>
    <row r="57" spans="1:17" x14ac:dyDescent="0.3">
      <c r="A57" s="17" t="s">
        <v>167</v>
      </c>
      <c r="B57" s="17" t="s">
        <v>168</v>
      </c>
      <c r="C57" s="17" t="s">
        <v>14</v>
      </c>
      <c r="D57" s="17" t="s">
        <v>15</v>
      </c>
      <c r="E57" s="18">
        <v>44123</v>
      </c>
      <c r="F57" s="17" t="s">
        <v>23</v>
      </c>
      <c r="G57" s="17" t="s">
        <v>328</v>
      </c>
      <c r="H57" s="17" t="str">
        <f>IFERROR(_xlfn.XLOOKUP(G57,'Master Gender'!$B$2:$B$3,'Master Gender'!$A$2:$A$3),"")</f>
        <v>Laki-Laki</v>
      </c>
      <c r="I57" s="17" t="s">
        <v>169</v>
      </c>
      <c r="J57" s="19">
        <v>35280</v>
      </c>
      <c r="K57" s="17">
        <f t="shared" si="0"/>
        <v>29</v>
      </c>
      <c r="L57" s="20">
        <v>0.75</v>
      </c>
      <c r="M57" s="17" t="str">
        <f>IFERROR(_xlfn.XLOOKUP(A57,'Master Position'!$B$2:$B$124,'Master Position'!$A$2:$A$124),"")</f>
        <v>Human Resources</v>
      </c>
      <c r="N57" s="17" t="str">
        <f>IFERROR(_xlfn.XLOOKUP(A57,'Master Position'!$B$2:$B$124,'Master Position'!$C$2:$C$124),"")</f>
        <v>General Manager</v>
      </c>
      <c r="O57" s="17" t="str">
        <f>IFERROR(_xlfn.XLOOKUP(N57,'Master Salary'!$B$2:$B$8,'Master Salary'!$A$2:$A$8),"")</f>
        <v>GM</v>
      </c>
      <c r="P57" s="21">
        <f>IFERROR(_xlfn.XLOOKUP(N57,'Master Salary'!$B$2:$B$8,'Master Salary'!$C$2:$C$8),"")</f>
        <v>25000000</v>
      </c>
      <c r="Q57" s="21">
        <f>IFERROR(IF(L57&gt;90%,P57*_xlfn.XLOOKUP(N57,'Master Bonus'!$A$3:$A$9,'Master Bonus'!$B$3:$B$9),0),"")</f>
        <v>0</v>
      </c>
    </row>
    <row r="58" spans="1:17" x14ac:dyDescent="0.3">
      <c r="A58" s="17" t="s">
        <v>170</v>
      </c>
      <c r="B58" s="17" t="s">
        <v>171</v>
      </c>
      <c r="C58" s="17" t="s">
        <v>14</v>
      </c>
      <c r="D58" s="17" t="s">
        <v>15</v>
      </c>
      <c r="E58" s="18">
        <v>41944</v>
      </c>
      <c r="F58" s="17" t="s">
        <v>23</v>
      </c>
      <c r="G58" s="17" t="s">
        <v>328</v>
      </c>
      <c r="H58" s="17" t="str">
        <f>IFERROR(_xlfn.XLOOKUP(G58,'Master Gender'!$B$2:$B$3,'Master Gender'!$A$2:$A$3),"")</f>
        <v>Laki-Laki</v>
      </c>
      <c r="I58" s="17" t="s">
        <v>29</v>
      </c>
      <c r="J58" s="19">
        <v>31377</v>
      </c>
      <c r="K58" s="17">
        <f t="shared" si="0"/>
        <v>40</v>
      </c>
      <c r="L58" s="20">
        <v>0.81</v>
      </c>
      <c r="M58" s="17" t="str">
        <f>IFERROR(_xlfn.XLOOKUP(A58,'Master Position'!$B$2:$B$124,'Master Position'!$A$2:$A$124),"")</f>
        <v>Production</v>
      </c>
      <c r="N58" s="17" t="str">
        <f>IFERROR(_xlfn.XLOOKUP(A58,'Master Position'!$B$2:$B$124,'Master Position'!$C$2:$C$124),"")</f>
        <v>General Manager</v>
      </c>
      <c r="O58" s="17" t="str">
        <f>IFERROR(_xlfn.XLOOKUP(N58,'Master Salary'!$B$2:$B$8,'Master Salary'!$A$2:$A$8),"")</f>
        <v>GM</v>
      </c>
      <c r="P58" s="21">
        <f>IFERROR(_xlfn.XLOOKUP(N58,'Master Salary'!$B$2:$B$8,'Master Salary'!$C$2:$C$8),"")</f>
        <v>25000000</v>
      </c>
      <c r="Q58" s="21">
        <f>IFERROR(IF(L58&gt;90%,P58*_xlfn.XLOOKUP(N58,'Master Bonus'!$A$3:$A$9,'Master Bonus'!$B$3:$B$9),0),"")</f>
        <v>0</v>
      </c>
    </row>
    <row r="59" spans="1:17" x14ac:dyDescent="0.3">
      <c r="A59" s="17" t="s">
        <v>172</v>
      </c>
      <c r="B59" s="17" t="s">
        <v>173</v>
      </c>
      <c r="C59" s="17" t="s">
        <v>14</v>
      </c>
      <c r="D59" s="17" t="s">
        <v>27</v>
      </c>
      <c r="E59" s="18">
        <v>42705</v>
      </c>
      <c r="F59" s="17" t="s">
        <v>23</v>
      </c>
      <c r="G59" s="17" t="s">
        <v>328</v>
      </c>
      <c r="H59" s="17" t="str">
        <f>IFERROR(_xlfn.XLOOKUP(G59,'Master Gender'!$B$2:$B$3,'Master Gender'!$A$2:$A$3),"")</f>
        <v>Laki-Laki</v>
      </c>
      <c r="I59" s="17" t="s">
        <v>174</v>
      </c>
      <c r="J59" s="19">
        <v>32228</v>
      </c>
      <c r="K59" s="17">
        <f t="shared" si="0"/>
        <v>37</v>
      </c>
      <c r="L59" s="20">
        <v>1</v>
      </c>
      <c r="M59" s="17" t="str">
        <f>IFERROR(_xlfn.XLOOKUP(A59,'Master Position'!$B$2:$B$124,'Master Position'!$A$2:$A$124),"")</f>
        <v>Finance</v>
      </c>
      <c r="N59" s="17" t="str">
        <f>IFERROR(_xlfn.XLOOKUP(A59,'Master Position'!$B$2:$B$124,'Master Position'!$C$2:$C$124),"")</f>
        <v>Senior Staff</v>
      </c>
      <c r="O59" s="17" t="str">
        <f>IFERROR(_xlfn.XLOOKUP(N59,'Master Salary'!$B$2:$B$8,'Master Salary'!$A$2:$A$8),"")</f>
        <v>SS</v>
      </c>
      <c r="P59" s="21">
        <f>IFERROR(_xlfn.XLOOKUP(N59,'Master Salary'!$B$2:$B$8,'Master Salary'!$C$2:$C$8),"")</f>
        <v>5000000</v>
      </c>
      <c r="Q59" s="21">
        <f>IFERROR(IF(L59&gt;90%,P59*_xlfn.XLOOKUP(N59,'Master Bonus'!$A$3:$A$9,'Master Bonus'!$B$3:$B$9),0),"")</f>
        <v>5000000</v>
      </c>
    </row>
    <row r="60" spans="1:17" x14ac:dyDescent="0.3">
      <c r="A60" s="17" t="s">
        <v>175</v>
      </c>
      <c r="B60" s="17" t="s">
        <v>176</v>
      </c>
      <c r="C60" s="17" t="s">
        <v>14</v>
      </c>
      <c r="D60" s="17" t="s">
        <v>27</v>
      </c>
      <c r="E60" s="18">
        <v>45352</v>
      </c>
      <c r="F60" s="17" t="s">
        <v>23</v>
      </c>
      <c r="G60" s="17" t="s">
        <v>328</v>
      </c>
      <c r="H60" s="17" t="str">
        <f>IFERROR(_xlfn.XLOOKUP(G60,'Master Gender'!$B$2:$B$3,'Master Gender'!$A$2:$A$3),"")</f>
        <v>Laki-Laki</v>
      </c>
      <c r="I60" s="17" t="s">
        <v>14</v>
      </c>
      <c r="J60" s="19">
        <v>34687</v>
      </c>
      <c r="K60" s="17">
        <f t="shared" si="0"/>
        <v>31</v>
      </c>
      <c r="L60" s="20">
        <v>0.91</v>
      </c>
      <c r="M60" s="17" t="str">
        <f>IFERROR(_xlfn.XLOOKUP(A60,'Master Position'!$B$2:$B$124,'Master Position'!$A$2:$A$124),"")</f>
        <v>Marketing</v>
      </c>
      <c r="N60" s="17" t="str">
        <f>IFERROR(_xlfn.XLOOKUP(A60,'Master Position'!$B$2:$B$124,'Master Position'!$C$2:$C$124),"")</f>
        <v>Supervisor</v>
      </c>
      <c r="O60" s="17" t="str">
        <f>IFERROR(_xlfn.XLOOKUP(N60,'Master Salary'!$B$2:$B$8,'Master Salary'!$A$2:$A$8),"")</f>
        <v>SP</v>
      </c>
      <c r="P60" s="21">
        <f>IFERROR(_xlfn.XLOOKUP(N60,'Master Salary'!$B$2:$B$8,'Master Salary'!$C$2:$C$8),"")</f>
        <v>7000000</v>
      </c>
      <c r="Q60" s="21">
        <f>IFERROR(IF(L60&gt;90%,P60*_xlfn.XLOOKUP(N60,'Master Bonus'!$A$3:$A$9,'Master Bonus'!$B$3:$B$9),0),"")</f>
        <v>7000000</v>
      </c>
    </row>
    <row r="61" spans="1:17" x14ac:dyDescent="0.3">
      <c r="A61" s="17" t="s">
        <v>177</v>
      </c>
      <c r="B61" s="17" t="s">
        <v>150</v>
      </c>
      <c r="C61" s="17" t="s">
        <v>14</v>
      </c>
      <c r="D61" s="17" t="s">
        <v>27</v>
      </c>
      <c r="E61" s="18">
        <v>45352</v>
      </c>
      <c r="F61" s="17" t="s">
        <v>23</v>
      </c>
      <c r="G61" s="17" t="s">
        <v>327</v>
      </c>
      <c r="H61" s="17" t="str">
        <f>IFERROR(_xlfn.XLOOKUP(G61,'Master Gender'!$B$2:$B$3,'Master Gender'!$A$2:$A$3),"")</f>
        <v>Perempuan</v>
      </c>
      <c r="I61" s="17" t="s">
        <v>14</v>
      </c>
      <c r="J61" s="19">
        <v>34687</v>
      </c>
      <c r="K61" s="17">
        <f t="shared" si="0"/>
        <v>31</v>
      </c>
      <c r="L61" s="20">
        <v>0.62</v>
      </c>
      <c r="M61" s="17" t="str">
        <f>IFERROR(_xlfn.XLOOKUP(A61,'Master Position'!$B$2:$B$124,'Master Position'!$A$2:$A$124),"")</f>
        <v>Marketing</v>
      </c>
      <c r="N61" s="17" t="str">
        <f>IFERROR(_xlfn.XLOOKUP(A61,'Master Position'!$B$2:$B$124,'Master Position'!$C$2:$C$124),"")</f>
        <v>Senior Staff</v>
      </c>
      <c r="O61" s="17" t="str">
        <f>IFERROR(_xlfn.XLOOKUP(N61,'Master Salary'!$B$2:$B$8,'Master Salary'!$A$2:$A$8),"")</f>
        <v>SS</v>
      </c>
      <c r="P61" s="21">
        <f>IFERROR(_xlfn.XLOOKUP(N61,'Master Salary'!$B$2:$B$8,'Master Salary'!$C$2:$C$8),"")</f>
        <v>5000000</v>
      </c>
      <c r="Q61" s="21">
        <f>IFERROR(IF(L61&gt;90%,P61*_xlfn.XLOOKUP(N61,'Master Bonus'!$A$3:$A$9,'Master Bonus'!$B$3:$B$9),0),"")</f>
        <v>0</v>
      </c>
    </row>
    <row r="62" spans="1:17" x14ac:dyDescent="0.3">
      <c r="A62" s="17" t="s">
        <v>178</v>
      </c>
      <c r="B62" s="17" t="s">
        <v>179</v>
      </c>
      <c r="C62" s="17" t="s">
        <v>14</v>
      </c>
      <c r="D62" s="17" t="s">
        <v>27</v>
      </c>
      <c r="E62" s="18">
        <v>42717</v>
      </c>
      <c r="F62" s="17" t="s">
        <v>23</v>
      </c>
      <c r="G62" s="17" t="s">
        <v>327</v>
      </c>
      <c r="H62" s="17" t="str">
        <f>IFERROR(_xlfn.XLOOKUP(G62,'Master Gender'!$B$2:$B$3,'Master Gender'!$A$2:$A$3),"")</f>
        <v>Perempuan</v>
      </c>
      <c r="I62" s="17" t="s">
        <v>180</v>
      </c>
      <c r="J62" s="19">
        <v>32191</v>
      </c>
      <c r="K62" s="17">
        <f t="shared" si="0"/>
        <v>37</v>
      </c>
      <c r="L62" s="20">
        <v>0.72</v>
      </c>
      <c r="M62" s="17" t="str">
        <f>IFERROR(_xlfn.XLOOKUP(A62,'Master Position'!$B$2:$B$124,'Master Position'!$A$2:$A$124),"")</f>
        <v>Marketing</v>
      </c>
      <c r="N62" s="17" t="str">
        <f>IFERROR(_xlfn.XLOOKUP(A62,'Master Position'!$B$2:$B$124,'Master Position'!$C$2:$C$124),"")</f>
        <v>Senior Staff</v>
      </c>
      <c r="O62" s="17" t="str">
        <f>IFERROR(_xlfn.XLOOKUP(N62,'Master Salary'!$B$2:$B$8,'Master Salary'!$A$2:$A$8),"")</f>
        <v>SS</v>
      </c>
      <c r="P62" s="21">
        <f>IFERROR(_xlfn.XLOOKUP(N62,'Master Salary'!$B$2:$B$8,'Master Salary'!$C$2:$C$8),"")</f>
        <v>5000000</v>
      </c>
      <c r="Q62" s="21">
        <f>IFERROR(IF(L62&gt;90%,P62*_xlfn.XLOOKUP(N62,'Master Bonus'!$A$3:$A$9,'Master Bonus'!$B$3:$B$9),0),"")</f>
        <v>0</v>
      </c>
    </row>
    <row r="63" spans="1:17" x14ac:dyDescent="0.3">
      <c r="A63" s="17" t="s">
        <v>181</v>
      </c>
      <c r="B63" s="17" t="s">
        <v>182</v>
      </c>
      <c r="C63" s="17" t="s">
        <v>14</v>
      </c>
      <c r="D63" s="17" t="s">
        <v>27</v>
      </c>
      <c r="E63" s="18">
        <v>38057</v>
      </c>
      <c r="F63" s="17" t="s">
        <v>23</v>
      </c>
      <c r="G63" s="17" t="s">
        <v>328</v>
      </c>
      <c r="H63" s="17" t="str">
        <f>IFERROR(_xlfn.XLOOKUP(G63,'Master Gender'!$B$2:$B$3,'Master Gender'!$A$2:$A$3),"")</f>
        <v>Laki-Laki</v>
      </c>
      <c r="I63" s="17" t="s">
        <v>14</v>
      </c>
      <c r="J63" s="19">
        <v>28067</v>
      </c>
      <c r="K63" s="17">
        <f t="shared" si="0"/>
        <v>49</v>
      </c>
      <c r="L63" s="20">
        <v>0.77</v>
      </c>
      <c r="M63" s="17" t="str">
        <f>IFERROR(_xlfn.XLOOKUP(A63,'Master Position'!$B$2:$B$124,'Master Position'!$A$2:$A$124),"")</f>
        <v>Finance</v>
      </c>
      <c r="N63" s="17" t="str">
        <f>IFERROR(_xlfn.XLOOKUP(A63,'Master Position'!$B$2:$B$124,'Master Position'!$C$2:$C$124),"")</f>
        <v>Staff</v>
      </c>
      <c r="O63" s="17" t="str">
        <f>IFERROR(_xlfn.XLOOKUP(N63,'Master Salary'!$B$2:$B$8,'Master Salary'!$A$2:$A$8),"")</f>
        <v>ST</v>
      </c>
      <c r="P63" s="21">
        <f>IFERROR(_xlfn.XLOOKUP(N63,'Master Salary'!$B$2:$B$8,'Master Salary'!$C$2:$C$8),"")</f>
        <v>4000000</v>
      </c>
      <c r="Q63" s="21">
        <f>IFERROR(IF(L63&gt;90%,P63*_xlfn.XLOOKUP(N63,'Master Bonus'!$A$3:$A$9,'Master Bonus'!$B$3:$B$9),0),"")</f>
        <v>0</v>
      </c>
    </row>
    <row r="64" spans="1:17" x14ac:dyDescent="0.3">
      <c r="A64" s="17" t="s">
        <v>183</v>
      </c>
      <c r="B64" s="17" t="s">
        <v>184</v>
      </c>
      <c r="C64" s="17" t="s">
        <v>14</v>
      </c>
      <c r="D64" s="17" t="s">
        <v>27</v>
      </c>
      <c r="E64" s="18">
        <v>41162</v>
      </c>
      <c r="F64" s="17" t="s">
        <v>23</v>
      </c>
      <c r="G64" s="17" t="s">
        <v>328</v>
      </c>
      <c r="H64" s="17" t="str">
        <f>IFERROR(_xlfn.XLOOKUP(G64,'Master Gender'!$B$2:$B$3,'Master Gender'!$A$2:$A$3),"")</f>
        <v>Laki-Laki</v>
      </c>
      <c r="I64" s="17" t="s">
        <v>71</v>
      </c>
      <c r="J64" s="19">
        <v>32984</v>
      </c>
      <c r="K64" s="17">
        <f t="shared" si="0"/>
        <v>35</v>
      </c>
      <c r="L64" s="20">
        <v>0.65</v>
      </c>
      <c r="M64" s="17" t="str">
        <f>IFERROR(_xlfn.XLOOKUP(A64,'Master Position'!$B$2:$B$124,'Master Position'!$A$2:$A$124),"")</f>
        <v>Marketing</v>
      </c>
      <c r="N64" s="17" t="str">
        <f>IFERROR(_xlfn.XLOOKUP(A64,'Master Position'!$B$2:$B$124,'Master Position'!$C$2:$C$124),"")</f>
        <v>Senior Staff</v>
      </c>
      <c r="O64" s="17" t="str">
        <f>IFERROR(_xlfn.XLOOKUP(N64,'Master Salary'!$B$2:$B$8,'Master Salary'!$A$2:$A$8),"")</f>
        <v>SS</v>
      </c>
      <c r="P64" s="21">
        <f>IFERROR(_xlfn.XLOOKUP(N64,'Master Salary'!$B$2:$B$8,'Master Salary'!$C$2:$C$8),"")</f>
        <v>5000000</v>
      </c>
      <c r="Q64" s="21">
        <f>IFERROR(IF(L64&gt;90%,P64*_xlfn.XLOOKUP(N64,'Master Bonus'!$A$3:$A$9,'Master Bonus'!$B$3:$B$9),0),"")</f>
        <v>0</v>
      </c>
    </row>
    <row r="65" spans="1:17" x14ac:dyDescent="0.3">
      <c r="A65" s="17" t="s">
        <v>185</v>
      </c>
      <c r="B65" s="17" t="s">
        <v>129</v>
      </c>
      <c r="C65" s="17" t="s">
        <v>14</v>
      </c>
      <c r="D65" s="17" t="s">
        <v>27</v>
      </c>
      <c r="E65" s="18">
        <v>44958</v>
      </c>
      <c r="F65" s="17" t="s">
        <v>23</v>
      </c>
      <c r="G65" s="17" t="s">
        <v>328</v>
      </c>
      <c r="H65" s="17" t="str">
        <f>IFERROR(_xlfn.XLOOKUP(G65,'Master Gender'!$B$2:$B$3,'Master Gender'!$A$2:$A$3),"")</f>
        <v>Laki-Laki</v>
      </c>
      <c r="I65" s="17" t="s">
        <v>97</v>
      </c>
      <c r="J65" s="19">
        <v>31603</v>
      </c>
      <c r="K65" s="17">
        <f t="shared" si="0"/>
        <v>39</v>
      </c>
      <c r="L65" s="20">
        <v>0.78</v>
      </c>
      <c r="M65" s="17" t="str">
        <f>IFERROR(_xlfn.XLOOKUP(A65,'Master Position'!$B$2:$B$124,'Master Position'!$A$2:$A$124),"")</f>
        <v>Marketing</v>
      </c>
      <c r="N65" s="17" t="str">
        <f>IFERROR(_xlfn.XLOOKUP(A65,'Master Position'!$B$2:$B$124,'Master Position'!$C$2:$C$124),"")</f>
        <v>Junior Manager</v>
      </c>
      <c r="O65" s="17" t="str">
        <f>IFERROR(_xlfn.XLOOKUP(N65,'Master Salary'!$B$2:$B$8,'Master Salary'!$A$2:$A$8),"")</f>
        <v>JM</v>
      </c>
      <c r="P65" s="21">
        <f>IFERROR(_xlfn.XLOOKUP(N65,'Master Salary'!$B$2:$B$8,'Master Salary'!$C$2:$C$8),"")</f>
        <v>12000000</v>
      </c>
      <c r="Q65" s="21">
        <f>IFERROR(IF(L65&gt;90%,P65*_xlfn.XLOOKUP(N65,'Master Bonus'!$A$3:$A$9,'Master Bonus'!$B$3:$B$9),0),"")</f>
        <v>0</v>
      </c>
    </row>
    <row r="66" spans="1:17" x14ac:dyDescent="0.3">
      <c r="A66" s="17" t="s">
        <v>186</v>
      </c>
      <c r="B66" s="17" t="s">
        <v>187</v>
      </c>
      <c r="C66" s="17" t="s">
        <v>14</v>
      </c>
      <c r="D66" s="17" t="s">
        <v>27</v>
      </c>
      <c r="E66" s="18">
        <v>42401</v>
      </c>
      <c r="F66" s="17" t="s">
        <v>23</v>
      </c>
      <c r="G66" s="17" t="s">
        <v>328</v>
      </c>
      <c r="H66" s="17" t="str">
        <f>IFERROR(_xlfn.XLOOKUP(G66,'Master Gender'!$B$2:$B$3,'Master Gender'!$A$2:$A$3),"")</f>
        <v>Laki-Laki</v>
      </c>
      <c r="I66" s="17" t="s">
        <v>46</v>
      </c>
      <c r="J66" s="19">
        <v>26236</v>
      </c>
      <c r="K66" s="17">
        <f t="shared" ref="K66:K124" si="1">DATEDIF(J66,DATE(2025,12,31),"Y")</f>
        <v>54</v>
      </c>
      <c r="L66" s="20">
        <v>0.71</v>
      </c>
      <c r="M66" s="17" t="str">
        <f>IFERROR(_xlfn.XLOOKUP(A66,'Master Position'!$B$2:$B$124,'Master Position'!$A$2:$A$124),"")</f>
        <v>Finance</v>
      </c>
      <c r="N66" s="17" t="str">
        <f>IFERROR(_xlfn.XLOOKUP(A66,'Master Position'!$B$2:$B$124,'Master Position'!$C$2:$C$124),"")</f>
        <v>Senior Staff</v>
      </c>
      <c r="O66" s="17" t="str">
        <f>IFERROR(_xlfn.XLOOKUP(N66,'Master Salary'!$B$2:$B$8,'Master Salary'!$A$2:$A$8),"")</f>
        <v>SS</v>
      </c>
      <c r="P66" s="21">
        <f>IFERROR(_xlfn.XLOOKUP(N66,'Master Salary'!$B$2:$B$8,'Master Salary'!$C$2:$C$8),"")</f>
        <v>5000000</v>
      </c>
      <c r="Q66" s="21">
        <f>IFERROR(IF(L66&gt;90%,P66*_xlfn.XLOOKUP(N66,'Master Bonus'!$A$3:$A$9,'Master Bonus'!$B$3:$B$9),0),"")</f>
        <v>0</v>
      </c>
    </row>
    <row r="67" spans="1:17" x14ac:dyDescent="0.3">
      <c r="A67" s="17" t="s">
        <v>188</v>
      </c>
      <c r="B67" s="17" t="s">
        <v>189</v>
      </c>
      <c r="C67" s="17" t="s">
        <v>14</v>
      </c>
      <c r="D67" s="17" t="s">
        <v>27</v>
      </c>
      <c r="E67" s="18">
        <v>42401</v>
      </c>
      <c r="F67" s="17" t="s">
        <v>23</v>
      </c>
      <c r="G67" s="17" t="s">
        <v>327</v>
      </c>
      <c r="H67" s="17" t="str">
        <f>IFERROR(_xlfn.XLOOKUP(G67,'Master Gender'!$B$2:$B$3,'Master Gender'!$A$2:$A$3),"")</f>
        <v>Perempuan</v>
      </c>
      <c r="I67" s="17" t="s">
        <v>190</v>
      </c>
      <c r="J67" s="19">
        <v>31420</v>
      </c>
      <c r="K67" s="17">
        <f t="shared" si="1"/>
        <v>39</v>
      </c>
      <c r="L67" s="20">
        <v>0.63</v>
      </c>
      <c r="M67" s="17" t="str">
        <f>IFERROR(_xlfn.XLOOKUP(A67,'Master Position'!$B$2:$B$124,'Master Position'!$A$2:$A$124),"")</f>
        <v>Production</v>
      </c>
      <c r="N67" s="17" t="str">
        <f>IFERROR(_xlfn.XLOOKUP(A67,'Master Position'!$B$2:$B$124,'Master Position'!$C$2:$C$124),"")</f>
        <v>Senior Staff</v>
      </c>
      <c r="O67" s="17" t="str">
        <f>IFERROR(_xlfn.XLOOKUP(N67,'Master Salary'!$B$2:$B$8,'Master Salary'!$A$2:$A$8),"")</f>
        <v>SS</v>
      </c>
      <c r="P67" s="21">
        <f>IFERROR(_xlfn.XLOOKUP(N67,'Master Salary'!$B$2:$B$8,'Master Salary'!$C$2:$C$8),"")</f>
        <v>5000000</v>
      </c>
      <c r="Q67" s="21">
        <f>IFERROR(IF(L67&gt;90%,P67*_xlfn.XLOOKUP(N67,'Master Bonus'!$A$3:$A$9,'Master Bonus'!$B$3:$B$9),0),"")</f>
        <v>0</v>
      </c>
    </row>
    <row r="68" spans="1:17" x14ac:dyDescent="0.3">
      <c r="A68" s="17" t="s">
        <v>191</v>
      </c>
      <c r="B68" s="17" t="s">
        <v>192</v>
      </c>
      <c r="C68" s="17" t="s">
        <v>14</v>
      </c>
      <c r="D68" s="17" t="s">
        <v>27</v>
      </c>
      <c r="E68" s="18">
        <v>44013</v>
      </c>
      <c r="F68" s="17" t="s">
        <v>23</v>
      </c>
      <c r="G68" s="17" t="s">
        <v>328</v>
      </c>
      <c r="H68" s="17" t="str">
        <f>IFERROR(_xlfn.XLOOKUP(G68,'Master Gender'!$B$2:$B$3,'Master Gender'!$A$2:$A$3),"")</f>
        <v>Laki-Laki</v>
      </c>
      <c r="I68" s="17" t="s">
        <v>14</v>
      </c>
      <c r="J68" s="19">
        <v>33985</v>
      </c>
      <c r="K68" s="17">
        <f t="shared" si="1"/>
        <v>32</v>
      </c>
      <c r="L68" s="20">
        <v>0.72</v>
      </c>
      <c r="M68" s="17" t="str">
        <f>IFERROR(_xlfn.XLOOKUP(A68,'Master Position'!$B$2:$B$124,'Master Position'!$A$2:$A$124),"")</f>
        <v>Human Resources</v>
      </c>
      <c r="N68" s="17" t="str">
        <f>IFERROR(_xlfn.XLOOKUP(A68,'Master Position'!$B$2:$B$124,'Master Position'!$C$2:$C$124),"")</f>
        <v>Senior Staff</v>
      </c>
      <c r="O68" s="17" t="str">
        <f>IFERROR(_xlfn.XLOOKUP(N68,'Master Salary'!$B$2:$B$8,'Master Salary'!$A$2:$A$8),"")</f>
        <v>SS</v>
      </c>
      <c r="P68" s="21">
        <f>IFERROR(_xlfn.XLOOKUP(N68,'Master Salary'!$B$2:$B$8,'Master Salary'!$C$2:$C$8),"")</f>
        <v>5000000</v>
      </c>
      <c r="Q68" s="21">
        <f>IFERROR(IF(L68&gt;90%,P68*_xlfn.XLOOKUP(N68,'Master Bonus'!$A$3:$A$9,'Master Bonus'!$B$3:$B$9),0),"")</f>
        <v>0</v>
      </c>
    </row>
    <row r="69" spans="1:17" x14ac:dyDescent="0.3">
      <c r="A69" s="17" t="s">
        <v>193</v>
      </c>
      <c r="B69" s="17" t="s">
        <v>194</v>
      </c>
      <c r="C69" s="17" t="s">
        <v>14</v>
      </c>
      <c r="D69" s="17" t="s">
        <v>27</v>
      </c>
      <c r="E69" s="18">
        <v>36647</v>
      </c>
      <c r="F69" s="17" t="s">
        <v>23</v>
      </c>
      <c r="G69" s="17" t="s">
        <v>327</v>
      </c>
      <c r="H69" s="17" t="str">
        <f>IFERROR(_xlfn.XLOOKUP(G69,'Master Gender'!$B$2:$B$3,'Master Gender'!$A$2:$A$3),"")</f>
        <v>Perempuan</v>
      </c>
      <c r="I69" s="17" t="s">
        <v>24</v>
      </c>
      <c r="J69" s="19">
        <v>25717</v>
      </c>
      <c r="K69" s="17">
        <f t="shared" si="1"/>
        <v>55</v>
      </c>
      <c r="L69" s="20">
        <v>0.91</v>
      </c>
      <c r="M69" s="17" t="str">
        <f>IFERROR(_xlfn.XLOOKUP(A69,'Master Position'!$B$2:$B$124,'Master Position'!$A$2:$A$124),"")</f>
        <v>Marketing</v>
      </c>
      <c r="N69" s="17" t="str">
        <f>IFERROR(_xlfn.XLOOKUP(A69,'Master Position'!$B$2:$B$124,'Master Position'!$C$2:$C$124),"")</f>
        <v>Supervisor</v>
      </c>
      <c r="O69" s="17" t="str">
        <f>IFERROR(_xlfn.XLOOKUP(N69,'Master Salary'!$B$2:$B$8,'Master Salary'!$A$2:$A$8),"")</f>
        <v>SP</v>
      </c>
      <c r="P69" s="21">
        <f>IFERROR(_xlfn.XLOOKUP(N69,'Master Salary'!$B$2:$B$8,'Master Salary'!$C$2:$C$8),"")</f>
        <v>7000000</v>
      </c>
      <c r="Q69" s="21">
        <f>IFERROR(IF(L69&gt;90%,P69*_xlfn.XLOOKUP(N69,'Master Bonus'!$A$3:$A$9,'Master Bonus'!$B$3:$B$9),0),"")</f>
        <v>7000000</v>
      </c>
    </row>
    <row r="70" spans="1:17" x14ac:dyDescent="0.3">
      <c r="A70" s="17" t="s">
        <v>195</v>
      </c>
      <c r="B70" s="17" t="s">
        <v>196</v>
      </c>
      <c r="C70" s="17" t="s">
        <v>14</v>
      </c>
      <c r="D70" s="17" t="s">
        <v>27</v>
      </c>
      <c r="E70" s="18">
        <v>43227</v>
      </c>
      <c r="F70" s="17" t="s">
        <v>23</v>
      </c>
      <c r="G70" s="17" t="s">
        <v>328</v>
      </c>
      <c r="H70" s="17" t="str">
        <f>IFERROR(_xlfn.XLOOKUP(G70,'Master Gender'!$B$2:$B$3,'Master Gender'!$A$2:$A$3),"")</f>
        <v>Laki-Laki</v>
      </c>
      <c r="I70" s="17" t="s">
        <v>14</v>
      </c>
      <c r="J70" s="19">
        <v>34314</v>
      </c>
      <c r="K70" s="17">
        <f t="shared" si="1"/>
        <v>32</v>
      </c>
      <c r="L70" s="20">
        <v>0.66</v>
      </c>
      <c r="M70" s="17" t="str">
        <f>IFERROR(_xlfn.XLOOKUP(A70,'Master Position'!$B$2:$B$124,'Master Position'!$A$2:$A$124),"")</f>
        <v>Production</v>
      </c>
      <c r="N70" s="17" t="str">
        <f>IFERROR(_xlfn.XLOOKUP(A70,'Master Position'!$B$2:$B$124,'Master Position'!$C$2:$C$124),"")</f>
        <v>Staff</v>
      </c>
      <c r="O70" s="17" t="str">
        <f>IFERROR(_xlfn.XLOOKUP(N70,'Master Salary'!$B$2:$B$8,'Master Salary'!$A$2:$A$8),"")</f>
        <v>ST</v>
      </c>
      <c r="P70" s="21">
        <f>IFERROR(_xlfn.XLOOKUP(N70,'Master Salary'!$B$2:$B$8,'Master Salary'!$C$2:$C$8),"")</f>
        <v>4000000</v>
      </c>
      <c r="Q70" s="21">
        <f>IFERROR(IF(L70&gt;90%,P70*_xlfn.XLOOKUP(N70,'Master Bonus'!$A$3:$A$9,'Master Bonus'!$B$3:$B$9),0),"")</f>
        <v>0</v>
      </c>
    </row>
    <row r="71" spans="1:17" x14ac:dyDescent="0.3">
      <c r="A71" s="17" t="s">
        <v>197</v>
      </c>
      <c r="B71" s="17" t="s">
        <v>198</v>
      </c>
      <c r="C71" s="17" t="s">
        <v>14</v>
      </c>
      <c r="D71" s="17" t="s">
        <v>27</v>
      </c>
      <c r="E71" s="18">
        <v>44641</v>
      </c>
      <c r="F71" s="17" t="s">
        <v>23</v>
      </c>
      <c r="G71" s="17" t="s">
        <v>327</v>
      </c>
      <c r="H71" s="17" t="str">
        <f>IFERROR(_xlfn.XLOOKUP(G71,'Master Gender'!$B$2:$B$3,'Master Gender'!$A$2:$A$3),"")</f>
        <v>Perempuan</v>
      </c>
      <c r="I71" s="17" t="s">
        <v>199</v>
      </c>
      <c r="J71" s="19">
        <v>34896</v>
      </c>
      <c r="K71" s="17">
        <f t="shared" si="1"/>
        <v>30</v>
      </c>
      <c r="L71" s="20">
        <v>0.88</v>
      </c>
      <c r="M71" s="17" t="str">
        <f>IFERROR(_xlfn.XLOOKUP(A71,'Master Position'!$B$2:$B$124,'Master Position'!$A$2:$A$124),"")</f>
        <v>Finance</v>
      </c>
      <c r="N71" s="17" t="str">
        <f>IFERROR(_xlfn.XLOOKUP(A71,'Master Position'!$B$2:$B$124,'Master Position'!$C$2:$C$124),"")</f>
        <v>Staff</v>
      </c>
      <c r="O71" s="17" t="str">
        <f>IFERROR(_xlfn.XLOOKUP(N71,'Master Salary'!$B$2:$B$8,'Master Salary'!$A$2:$A$8),"")</f>
        <v>ST</v>
      </c>
      <c r="P71" s="21">
        <f>IFERROR(_xlfn.XLOOKUP(N71,'Master Salary'!$B$2:$B$8,'Master Salary'!$C$2:$C$8),"")</f>
        <v>4000000</v>
      </c>
      <c r="Q71" s="21">
        <f>IFERROR(IF(L71&gt;90%,P71*_xlfn.XLOOKUP(N71,'Master Bonus'!$A$3:$A$9,'Master Bonus'!$B$3:$B$9),0),"")</f>
        <v>0</v>
      </c>
    </row>
    <row r="72" spans="1:17" x14ac:dyDescent="0.3">
      <c r="A72" s="17" t="s">
        <v>200</v>
      </c>
      <c r="B72" s="17" t="s">
        <v>201</v>
      </c>
      <c r="C72" s="17" t="s">
        <v>14</v>
      </c>
      <c r="D72" s="17" t="s">
        <v>27</v>
      </c>
      <c r="E72" s="18">
        <v>38930</v>
      </c>
      <c r="F72" s="17" t="s">
        <v>23</v>
      </c>
      <c r="G72" s="17" t="s">
        <v>328</v>
      </c>
      <c r="H72" s="17" t="str">
        <f>IFERROR(_xlfn.XLOOKUP(G72,'Master Gender'!$B$2:$B$3,'Master Gender'!$A$2:$A$3),"")</f>
        <v>Laki-Laki</v>
      </c>
      <c r="I72" s="17" t="s">
        <v>24</v>
      </c>
      <c r="J72" s="19">
        <v>29101</v>
      </c>
      <c r="K72" s="17">
        <f t="shared" si="1"/>
        <v>46</v>
      </c>
      <c r="L72" s="20">
        <v>0.96</v>
      </c>
      <c r="M72" s="17" t="str">
        <f>IFERROR(_xlfn.XLOOKUP(A72,'Master Position'!$B$2:$B$124,'Master Position'!$A$2:$A$124),"")</f>
        <v>Human Resources</v>
      </c>
      <c r="N72" s="17" t="str">
        <f>IFERROR(_xlfn.XLOOKUP(A72,'Master Position'!$B$2:$B$124,'Master Position'!$C$2:$C$124),"")</f>
        <v>Supervisor</v>
      </c>
      <c r="O72" s="17" t="str">
        <f>IFERROR(_xlfn.XLOOKUP(N72,'Master Salary'!$B$2:$B$8,'Master Salary'!$A$2:$A$8),"")</f>
        <v>SP</v>
      </c>
      <c r="P72" s="21">
        <f>IFERROR(_xlfn.XLOOKUP(N72,'Master Salary'!$B$2:$B$8,'Master Salary'!$C$2:$C$8),"")</f>
        <v>7000000</v>
      </c>
      <c r="Q72" s="21">
        <f>IFERROR(IF(L72&gt;90%,P72*_xlfn.XLOOKUP(N72,'Master Bonus'!$A$3:$A$9,'Master Bonus'!$B$3:$B$9),0),"")</f>
        <v>7000000</v>
      </c>
    </row>
    <row r="73" spans="1:17" x14ac:dyDescent="0.3">
      <c r="A73" s="17" t="s">
        <v>202</v>
      </c>
      <c r="B73" s="17" t="s">
        <v>203</v>
      </c>
      <c r="C73" s="17" t="s">
        <v>14</v>
      </c>
      <c r="D73" s="17" t="s">
        <v>15</v>
      </c>
      <c r="E73" s="18">
        <v>43626</v>
      </c>
      <c r="F73" s="17" t="s">
        <v>23</v>
      </c>
      <c r="G73" s="17" t="s">
        <v>328</v>
      </c>
      <c r="H73" s="17" t="str">
        <f>IFERROR(_xlfn.XLOOKUP(G73,'Master Gender'!$B$2:$B$3,'Master Gender'!$A$2:$A$3),"")</f>
        <v>Laki-Laki</v>
      </c>
      <c r="I73" s="17" t="s">
        <v>205</v>
      </c>
      <c r="J73" s="19">
        <v>34411</v>
      </c>
      <c r="K73" s="17">
        <f t="shared" si="1"/>
        <v>31</v>
      </c>
      <c r="L73" s="20">
        <v>0.82</v>
      </c>
      <c r="M73" s="17" t="str">
        <f>IFERROR(_xlfn.XLOOKUP(A73,'Master Position'!$B$2:$B$124,'Master Position'!$A$2:$A$124),"")</f>
        <v>Procurement</v>
      </c>
      <c r="N73" s="17" t="str">
        <f>IFERROR(_xlfn.XLOOKUP(A73,'Master Position'!$B$2:$B$124,'Master Position'!$C$2:$C$124),"")</f>
        <v>Staff</v>
      </c>
      <c r="O73" s="17" t="str">
        <f>IFERROR(_xlfn.XLOOKUP(N73,'Master Salary'!$B$2:$B$8,'Master Salary'!$A$2:$A$8),"")</f>
        <v>ST</v>
      </c>
      <c r="P73" s="21">
        <f>IFERROR(_xlfn.XLOOKUP(N73,'Master Salary'!$B$2:$B$8,'Master Salary'!$C$2:$C$8),"")</f>
        <v>4000000</v>
      </c>
      <c r="Q73" s="21">
        <f>IFERROR(IF(L73&gt;90%,P73*_xlfn.XLOOKUP(N73,'Master Bonus'!$A$3:$A$9,'Master Bonus'!$B$3:$B$9),0),"")</f>
        <v>0</v>
      </c>
    </row>
    <row r="74" spans="1:17" x14ac:dyDescent="0.3">
      <c r="A74" s="17" t="s">
        <v>206</v>
      </c>
      <c r="B74" s="17" t="s">
        <v>207</v>
      </c>
      <c r="C74" s="17" t="s">
        <v>14</v>
      </c>
      <c r="D74" s="17" t="s">
        <v>15</v>
      </c>
      <c r="E74" s="18">
        <v>44809</v>
      </c>
      <c r="F74" s="17" t="s">
        <v>23</v>
      </c>
      <c r="G74" s="17" t="s">
        <v>327</v>
      </c>
      <c r="H74" s="17" t="str">
        <f>IFERROR(_xlfn.XLOOKUP(G74,'Master Gender'!$B$2:$B$3,'Master Gender'!$A$2:$A$3),"")</f>
        <v>Perempuan</v>
      </c>
      <c r="I74" s="17" t="s">
        <v>29</v>
      </c>
      <c r="J74" s="19">
        <v>35671</v>
      </c>
      <c r="K74" s="17">
        <f t="shared" si="1"/>
        <v>28</v>
      </c>
      <c r="L74" s="20">
        <v>0.68</v>
      </c>
      <c r="M74" s="17" t="str">
        <f>IFERROR(_xlfn.XLOOKUP(A74,'Master Position'!$B$2:$B$124,'Master Position'!$A$2:$A$124),"")</f>
        <v>Production</v>
      </c>
      <c r="N74" s="17" t="str">
        <f>IFERROR(_xlfn.XLOOKUP(A74,'Master Position'!$B$2:$B$124,'Master Position'!$C$2:$C$124),"")</f>
        <v>Staff</v>
      </c>
      <c r="O74" s="17" t="str">
        <f>IFERROR(_xlfn.XLOOKUP(N74,'Master Salary'!$B$2:$B$8,'Master Salary'!$A$2:$A$8),"")</f>
        <v>ST</v>
      </c>
      <c r="P74" s="21">
        <f>IFERROR(_xlfn.XLOOKUP(N74,'Master Salary'!$B$2:$B$8,'Master Salary'!$C$2:$C$8),"")</f>
        <v>4000000</v>
      </c>
      <c r="Q74" s="21">
        <f>IFERROR(IF(L74&gt;90%,P74*_xlfn.XLOOKUP(N74,'Master Bonus'!$A$3:$A$9,'Master Bonus'!$B$3:$B$9),0),"")</f>
        <v>0</v>
      </c>
    </row>
    <row r="75" spans="1:17" x14ac:dyDescent="0.3">
      <c r="A75" s="17" t="s">
        <v>208</v>
      </c>
      <c r="B75" s="17" t="s">
        <v>209</v>
      </c>
      <c r="C75" s="17" t="s">
        <v>14</v>
      </c>
      <c r="D75" s="17" t="s">
        <v>27</v>
      </c>
      <c r="E75" s="18">
        <v>42933</v>
      </c>
      <c r="F75" s="17" t="s">
        <v>23</v>
      </c>
      <c r="G75" s="17" t="s">
        <v>328</v>
      </c>
      <c r="H75" s="17" t="str">
        <f>IFERROR(_xlfn.XLOOKUP(G75,'Master Gender'!$B$2:$B$3,'Master Gender'!$A$2:$A$3),"")</f>
        <v>Laki-Laki</v>
      </c>
      <c r="I75" s="17" t="s">
        <v>14</v>
      </c>
      <c r="J75" s="19">
        <v>34249</v>
      </c>
      <c r="K75" s="17">
        <f t="shared" si="1"/>
        <v>32</v>
      </c>
      <c r="L75" s="20">
        <v>0.83</v>
      </c>
      <c r="M75" s="17" t="str">
        <f>IFERROR(_xlfn.XLOOKUP(A75,'Master Position'!$B$2:$B$124,'Master Position'!$A$2:$A$124),"")</f>
        <v>Procurement</v>
      </c>
      <c r="N75" s="17" t="str">
        <f>IFERROR(_xlfn.XLOOKUP(A75,'Master Position'!$B$2:$B$124,'Master Position'!$C$2:$C$124),"")</f>
        <v>Staff</v>
      </c>
      <c r="O75" s="17" t="str">
        <f>IFERROR(_xlfn.XLOOKUP(N75,'Master Salary'!$B$2:$B$8,'Master Salary'!$A$2:$A$8),"")</f>
        <v>ST</v>
      </c>
      <c r="P75" s="21">
        <f>IFERROR(_xlfn.XLOOKUP(N75,'Master Salary'!$B$2:$B$8,'Master Salary'!$C$2:$C$8),"")</f>
        <v>4000000</v>
      </c>
      <c r="Q75" s="21">
        <f>IFERROR(IF(L75&gt;90%,P75*_xlfn.XLOOKUP(N75,'Master Bonus'!$A$3:$A$9,'Master Bonus'!$B$3:$B$9),0),"")</f>
        <v>0</v>
      </c>
    </row>
    <row r="76" spans="1:17" x14ac:dyDescent="0.3">
      <c r="A76" s="17" t="s">
        <v>210</v>
      </c>
      <c r="B76" s="17" t="s">
        <v>211</v>
      </c>
      <c r="C76" s="17" t="s">
        <v>14</v>
      </c>
      <c r="D76" s="17" t="s">
        <v>27</v>
      </c>
      <c r="E76" s="18">
        <v>42933</v>
      </c>
      <c r="F76" s="17" t="s">
        <v>23</v>
      </c>
      <c r="G76" s="17" t="s">
        <v>327</v>
      </c>
      <c r="H76" s="17" t="str">
        <f>IFERROR(_xlfn.XLOOKUP(G76,'Master Gender'!$B$2:$B$3,'Master Gender'!$A$2:$A$3),"")</f>
        <v>Perempuan</v>
      </c>
      <c r="I76" s="17" t="s">
        <v>14</v>
      </c>
      <c r="J76" s="19">
        <v>34249</v>
      </c>
      <c r="K76" s="17">
        <f t="shared" si="1"/>
        <v>32</v>
      </c>
      <c r="L76" s="20">
        <v>0.66</v>
      </c>
      <c r="M76" s="17" t="str">
        <f>IFERROR(_xlfn.XLOOKUP(A76,'Master Position'!$B$2:$B$124,'Master Position'!$A$2:$A$124),"")</f>
        <v>Finance</v>
      </c>
      <c r="N76" s="17" t="str">
        <f>IFERROR(_xlfn.XLOOKUP(A76,'Master Position'!$B$2:$B$124,'Master Position'!$C$2:$C$124),"")</f>
        <v>Senior Staff</v>
      </c>
      <c r="O76" s="17" t="str">
        <f>IFERROR(_xlfn.XLOOKUP(N76,'Master Salary'!$B$2:$B$8,'Master Salary'!$A$2:$A$8),"")</f>
        <v>SS</v>
      </c>
      <c r="P76" s="21">
        <f>IFERROR(_xlfn.XLOOKUP(N76,'Master Salary'!$B$2:$B$8,'Master Salary'!$C$2:$C$8),"")</f>
        <v>5000000</v>
      </c>
      <c r="Q76" s="21">
        <f>IFERROR(IF(L76&gt;90%,P76*_xlfn.XLOOKUP(N76,'Master Bonus'!$A$3:$A$9,'Master Bonus'!$B$3:$B$9),0),"")</f>
        <v>0</v>
      </c>
    </row>
    <row r="77" spans="1:17" x14ac:dyDescent="0.3">
      <c r="A77" s="17" t="s">
        <v>212</v>
      </c>
      <c r="B77" s="17" t="s">
        <v>213</v>
      </c>
      <c r="C77" s="17" t="s">
        <v>14</v>
      </c>
      <c r="D77" s="17" t="s">
        <v>27</v>
      </c>
      <c r="E77" s="18">
        <v>43440</v>
      </c>
      <c r="F77" s="17" t="s">
        <v>23</v>
      </c>
      <c r="G77" s="17" t="s">
        <v>328</v>
      </c>
      <c r="H77" s="17" t="str">
        <f>IFERROR(_xlfn.XLOOKUP(G77,'Master Gender'!$B$2:$B$3,'Master Gender'!$A$2:$A$3),"")</f>
        <v>Laki-Laki</v>
      </c>
      <c r="I77" s="17" t="s">
        <v>214</v>
      </c>
      <c r="J77" s="19">
        <v>33913</v>
      </c>
      <c r="K77" s="17">
        <f t="shared" si="1"/>
        <v>33</v>
      </c>
      <c r="L77" s="20">
        <v>0.65</v>
      </c>
      <c r="M77" s="17" t="str">
        <f>IFERROR(_xlfn.XLOOKUP(A77,'Master Position'!$B$2:$B$124,'Master Position'!$A$2:$A$124),"")</f>
        <v>Procurement</v>
      </c>
      <c r="N77" s="17" t="str">
        <f>IFERROR(_xlfn.XLOOKUP(A77,'Master Position'!$B$2:$B$124,'Master Position'!$C$2:$C$124),"")</f>
        <v>Senior Staff</v>
      </c>
      <c r="O77" s="17" t="str">
        <f>IFERROR(_xlfn.XLOOKUP(N77,'Master Salary'!$B$2:$B$8,'Master Salary'!$A$2:$A$8),"")</f>
        <v>SS</v>
      </c>
      <c r="P77" s="21">
        <f>IFERROR(_xlfn.XLOOKUP(N77,'Master Salary'!$B$2:$B$8,'Master Salary'!$C$2:$C$8),"")</f>
        <v>5000000</v>
      </c>
      <c r="Q77" s="21">
        <f>IFERROR(IF(L77&gt;90%,P77*_xlfn.XLOOKUP(N77,'Master Bonus'!$A$3:$A$9,'Master Bonus'!$B$3:$B$9),0),"")</f>
        <v>0</v>
      </c>
    </row>
    <row r="78" spans="1:17" x14ac:dyDescent="0.3">
      <c r="A78" s="17" t="s">
        <v>215</v>
      </c>
      <c r="B78" s="17" t="s">
        <v>216</v>
      </c>
      <c r="C78" s="17" t="s">
        <v>14</v>
      </c>
      <c r="D78" s="17" t="s">
        <v>15</v>
      </c>
      <c r="E78" s="18">
        <v>36598</v>
      </c>
      <c r="F78" s="17" t="s">
        <v>23</v>
      </c>
      <c r="G78" s="17" t="s">
        <v>328</v>
      </c>
      <c r="H78" s="17" t="str">
        <f>IFERROR(_xlfn.XLOOKUP(G78,'Master Gender'!$B$2:$B$3,'Master Gender'!$A$2:$A$3),"")</f>
        <v>Laki-Laki</v>
      </c>
      <c r="I78" s="17" t="s">
        <v>217</v>
      </c>
      <c r="J78" s="19">
        <v>28190</v>
      </c>
      <c r="K78" s="17">
        <f t="shared" si="1"/>
        <v>48</v>
      </c>
      <c r="L78" s="20">
        <v>0.63</v>
      </c>
      <c r="M78" s="17" t="str">
        <f>IFERROR(_xlfn.XLOOKUP(A78,'Master Position'!$B$2:$B$124,'Master Position'!$A$2:$A$124),"")</f>
        <v>Finance</v>
      </c>
      <c r="N78" s="17" t="str">
        <f>IFERROR(_xlfn.XLOOKUP(A78,'Master Position'!$B$2:$B$124,'Master Position'!$C$2:$C$124),"")</f>
        <v>Staff</v>
      </c>
      <c r="O78" s="17" t="str">
        <f>IFERROR(_xlfn.XLOOKUP(N78,'Master Salary'!$B$2:$B$8,'Master Salary'!$A$2:$A$8),"")</f>
        <v>ST</v>
      </c>
      <c r="P78" s="21">
        <f>IFERROR(_xlfn.XLOOKUP(N78,'Master Salary'!$B$2:$B$8,'Master Salary'!$C$2:$C$8),"")</f>
        <v>4000000</v>
      </c>
      <c r="Q78" s="21">
        <f>IFERROR(IF(L78&gt;90%,P78*_xlfn.XLOOKUP(N78,'Master Bonus'!$A$3:$A$9,'Master Bonus'!$B$3:$B$9),0),"")</f>
        <v>0</v>
      </c>
    </row>
    <row r="79" spans="1:17" x14ac:dyDescent="0.3">
      <c r="A79" s="17" t="s">
        <v>218</v>
      </c>
      <c r="B79" s="17" t="s">
        <v>219</v>
      </c>
      <c r="C79" s="17" t="s">
        <v>14</v>
      </c>
      <c r="D79" s="17" t="s">
        <v>15</v>
      </c>
      <c r="E79" s="18">
        <v>42919</v>
      </c>
      <c r="F79" s="17" t="s">
        <v>23</v>
      </c>
      <c r="G79" s="17" t="s">
        <v>327</v>
      </c>
      <c r="H79" s="17" t="str">
        <f>IFERROR(_xlfn.XLOOKUP(G79,'Master Gender'!$B$2:$B$3,'Master Gender'!$A$2:$A$3),"")</f>
        <v>Perempuan</v>
      </c>
      <c r="I79" s="17" t="s">
        <v>14</v>
      </c>
      <c r="J79" s="19">
        <v>32112</v>
      </c>
      <c r="K79" s="17">
        <f t="shared" si="1"/>
        <v>38</v>
      </c>
      <c r="L79" s="20">
        <v>0.8</v>
      </c>
      <c r="M79" s="17" t="str">
        <f>IFERROR(_xlfn.XLOOKUP(A79,'Master Position'!$B$2:$B$124,'Master Position'!$A$2:$A$124),"")</f>
        <v>Finance</v>
      </c>
      <c r="N79" s="17" t="str">
        <f>IFERROR(_xlfn.XLOOKUP(A79,'Master Position'!$B$2:$B$124,'Master Position'!$C$2:$C$124),"")</f>
        <v>Staff</v>
      </c>
      <c r="O79" s="17" t="str">
        <f>IFERROR(_xlfn.XLOOKUP(N79,'Master Salary'!$B$2:$B$8,'Master Salary'!$A$2:$A$8),"")</f>
        <v>ST</v>
      </c>
      <c r="P79" s="21">
        <f>IFERROR(_xlfn.XLOOKUP(N79,'Master Salary'!$B$2:$B$8,'Master Salary'!$C$2:$C$8),"")</f>
        <v>4000000</v>
      </c>
      <c r="Q79" s="21">
        <f>IFERROR(IF(L79&gt;90%,P79*_xlfn.XLOOKUP(N79,'Master Bonus'!$A$3:$A$9,'Master Bonus'!$B$3:$B$9),0),"")</f>
        <v>0</v>
      </c>
    </row>
    <row r="80" spans="1:17" x14ac:dyDescent="0.3">
      <c r="A80" s="17" t="s">
        <v>220</v>
      </c>
      <c r="B80" s="17" t="s">
        <v>221</v>
      </c>
      <c r="C80" s="17" t="s">
        <v>14</v>
      </c>
      <c r="D80" s="17" t="s">
        <v>27</v>
      </c>
      <c r="E80" s="18">
        <v>43627</v>
      </c>
      <c r="F80" s="17" t="s">
        <v>23</v>
      </c>
      <c r="G80" s="17" t="s">
        <v>327</v>
      </c>
      <c r="H80" s="17" t="str">
        <f>IFERROR(_xlfn.XLOOKUP(G80,'Master Gender'!$B$2:$B$3,'Master Gender'!$A$2:$A$3),"")</f>
        <v>Perempuan</v>
      </c>
      <c r="I80" s="17" t="s">
        <v>14</v>
      </c>
      <c r="J80" s="19">
        <v>34370</v>
      </c>
      <c r="K80" s="17">
        <f t="shared" si="1"/>
        <v>31</v>
      </c>
      <c r="L80" s="20">
        <v>0.81</v>
      </c>
      <c r="M80" s="17" t="str">
        <f>IFERROR(_xlfn.XLOOKUP(A80,'Master Position'!$B$2:$B$124,'Master Position'!$A$2:$A$124),"")</f>
        <v>Marketing</v>
      </c>
      <c r="N80" s="17" t="str">
        <f>IFERROR(_xlfn.XLOOKUP(A80,'Master Position'!$B$2:$B$124,'Master Position'!$C$2:$C$124),"")</f>
        <v>Senior Staff</v>
      </c>
      <c r="O80" s="17" t="str">
        <f>IFERROR(_xlfn.XLOOKUP(N80,'Master Salary'!$B$2:$B$8,'Master Salary'!$A$2:$A$8),"")</f>
        <v>SS</v>
      </c>
      <c r="P80" s="21">
        <f>IFERROR(_xlfn.XLOOKUP(N80,'Master Salary'!$B$2:$B$8,'Master Salary'!$C$2:$C$8),"")</f>
        <v>5000000</v>
      </c>
      <c r="Q80" s="21">
        <f>IFERROR(IF(L80&gt;90%,P80*_xlfn.XLOOKUP(N80,'Master Bonus'!$A$3:$A$9,'Master Bonus'!$B$3:$B$9),0),"")</f>
        <v>0</v>
      </c>
    </row>
    <row r="81" spans="1:17" x14ac:dyDescent="0.3">
      <c r="A81" s="17" t="s">
        <v>222</v>
      </c>
      <c r="B81" s="17" t="s">
        <v>223</v>
      </c>
      <c r="C81" s="17" t="s">
        <v>14</v>
      </c>
      <c r="D81" s="17" t="s">
        <v>27</v>
      </c>
      <c r="E81" s="18">
        <v>39741</v>
      </c>
      <c r="F81" s="17" t="s">
        <v>23</v>
      </c>
      <c r="G81" s="17" t="s">
        <v>327</v>
      </c>
      <c r="H81" s="17" t="str">
        <f>IFERROR(_xlfn.XLOOKUP(G81,'Master Gender'!$B$2:$B$3,'Master Gender'!$A$2:$A$3),"")</f>
        <v>Perempuan</v>
      </c>
      <c r="I81" s="17" t="s">
        <v>14</v>
      </c>
      <c r="J81" s="19">
        <v>31287</v>
      </c>
      <c r="K81" s="17">
        <f t="shared" si="1"/>
        <v>40</v>
      </c>
      <c r="L81" s="20">
        <v>0.74</v>
      </c>
      <c r="M81" s="17" t="str">
        <f>IFERROR(_xlfn.XLOOKUP(A81,'Master Position'!$B$2:$B$124,'Master Position'!$A$2:$A$124),"")</f>
        <v>Executive</v>
      </c>
      <c r="N81" s="17" t="str">
        <f>IFERROR(_xlfn.XLOOKUP(A81,'Master Position'!$B$2:$B$124,'Master Position'!$C$2:$C$124),"")</f>
        <v>Senior Staff</v>
      </c>
      <c r="O81" s="17" t="str">
        <f>IFERROR(_xlfn.XLOOKUP(N81,'Master Salary'!$B$2:$B$8,'Master Salary'!$A$2:$A$8),"")</f>
        <v>SS</v>
      </c>
      <c r="P81" s="21">
        <f>IFERROR(_xlfn.XLOOKUP(N81,'Master Salary'!$B$2:$B$8,'Master Salary'!$C$2:$C$8),"")</f>
        <v>5000000</v>
      </c>
      <c r="Q81" s="21">
        <f>IFERROR(IF(L81&gt;90%,P81*_xlfn.XLOOKUP(N81,'Master Bonus'!$A$3:$A$9,'Master Bonus'!$B$3:$B$9),0),"")</f>
        <v>0</v>
      </c>
    </row>
    <row r="82" spans="1:17" x14ac:dyDescent="0.3">
      <c r="A82" s="17" t="s">
        <v>225</v>
      </c>
      <c r="B82" s="17" t="s">
        <v>226</v>
      </c>
      <c r="C82" s="17" t="s">
        <v>14</v>
      </c>
      <c r="D82" s="17" t="s">
        <v>27</v>
      </c>
      <c r="E82" s="18">
        <v>42065</v>
      </c>
      <c r="F82" s="17" t="s">
        <v>23</v>
      </c>
      <c r="G82" s="17" t="s">
        <v>327</v>
      </c>
      <c r="H82" s="17" t="str">
        <f>IFERROR(_xlfn.XLOOKUP(G82,'Master Gender'!$B$2:$B$3,'Master Gender'!$A$2:$A$3),"")</f>
        <v>Perempuan</v>
      </c>
      <c r="I82" s="17" t="s">
        <v>14</v>
      </c>
      <c r="J82" s="19">
        <v>32809</v>
      </c>
      <c r="K82" s="17">
        <f t="shared" si="1"/>
        <v>36</v>
      </c>
      <c r="L82" s="20">
        <v>1</v>
      </c>
      <c r="M82" s="17" t="str">
        <f>IFERROR(_xlfn.XLOOKUP(A82,'Master Position'!$B$2:$B$124,'Master Position'!$A$2:$A$124),"")</f>
        <v>Human Resources</v>
      </c>
      <c r="N82" s="17" t="str">
        <f>IFERROR(_xlfn.XLOOKUP(A82,'Master Position'!$B$2:$B$124,'Master Position'!$C$2:$C$124),"")</f>
        <v>Staff</v>
      </c>
      <c r="O82" s="17" t="str">
        <f>IFERROR(_xlfn.XLOOKUP(N82,'Master Salary'!$B$2:$B$8,'Master Salary'!$A$2:$A$8),"")</f>
        <v>ST</v>
      </c>
      <c r="P82" s="21">
        <f>IFERROR(_xlfn.XLOOKUP(N82,'Master Salary'!$B$2:$B$8,'Master Salary'!$C$2:$C$8),"")</f>
        <v>4000000</v>
      </c>
      <c r="Q82" s="21">
        <f>IFERROR(IF(L82&gt;90%,P82*_xlfn.XLOOKUP(N82,'Master Bonus'!$A$3:$A$9,'Master Bonus'!$B$3:$B$9),0),"")</f>
        <v>4000000</v>
      </c>
    </row>
    <row r="83" spans="1:17" x14ac:dyDescent="0.3">
      <c r="A83" s="17" t="s">
        <v>227</v>
      </c>
      <c r="B83" s="17" t="s">
        <v>228</v>
      </c>
      <c r="C83" s="17" t="s">
        <v>14</v>
      </c>
      <c r="D83" s="17" t="s">
        <v>27</v>
      </c>
      <c r="E83" s="18">
        <v>41365</v>
      </c>
      <c r="F83" s="17" t="s">
        <v>23</v>
      </c>
      <c r="G83" s="17" t="s">
        <v>327</v>
      </c>
      <c r="H83" s="17" t="str">
        <f>IFERROR(_xlfn.XLOOKUP(G83,'Master Gender'!$B$2:$B$3,'Master Gender'!$A$2:$A$3),"")</f>
        <v>Perempuan</v>
      </c>
      <c r="I83" s="17" t="s">
        <v>24</v>
      </c>
      <c r="J83" s="19">
        <v>31279</v>
      </c>
      <c r="K83" s="17">
        <f t="shared" si="1"/>
        <v>40</v>
      </c>
      <c r="L83" s="20">
        <v>0.6</v>
      </c>
      <c r="M83" s="17" t="str">
        <f>IFERROR(_xlfn.XLOOKUP(A83,'Master Position'!$B$2:$B$124,'Master Position'!$A$2:$A$124),"")</f>
        <v>IT</v>
      </c>
      <c r="N83" s="17" t="str">
        <f>IFERROR(_xlfn.XLOOKUP(A83,'Master Position'!$B$2:$B$124,'Master Position'!$C$2:$C$124),"")</f>
        <v>Supervisor</v>
      </c>
      <c r="O83" s="17" t="str">
        <f>IFERROR(_xlfn.XLOOKUP(N83,'Master Salary'!$B$2:$B$8,'Master Salary'!$A$2:$A$8),"")</f>
        <v>SP</v>
      </c>
      <c r="P83" s="21">
        <f>IFERROR(_xlfn.XLOOKUP(N83,'Master Salary'!$B$2:$B$8,'Master Salary'!$C$2:$C$8),"")</f>
        <v>7000000</v>
      </c>
      <c r="Q83" s="21">
        <f>IFERROR(IF(L83&gt;90%,P83*_xlfn.XLOOKUP(N83,'Master Bonus'!$A$3:$A$9,'Master Bonus'!$B$3:$B$9),0),"")</f>
        <v>0</v>
      </c>
    </row>
    <row r="84" spans="1:17" x14ac:dyDescent="0.3">
      <c r="A84" s="17" t="s">
        <v>230</v>
      </c>
      <c r="B84" s="17" t="s">
        <v>231</v>
      </c>
      <c r="C84" s="17" t="s">
        <v>14</v>
      </c>
      <c r="D84" s="17" t="s">
        <v>27</v>
      </c>
      <c r="E84" s="18">
        <v>39167</v>
      </c>
      <c r="F84" s="17" t="s">
        <v>23</v>
      </c>
      <c r="G84" s="17" t="s">
        <v>327</v>
      </c>
      <c r="H84" s="17" t="str">
        <f>IFERROR(_xlfn.XLOOKUP(G84,'Master Gender'!$B$2:$B$3,'Master Gender'!$A$2:$A$3),"")</f>
        <v>Perempuan</v>
      </c>
      <c r="I84" s="17" t="s">
        <v>233</v>
      </c>
      <c r="J84" s="19">
        <v>30512</v>
      </c>
      <c r="K84" s="17">
        <f t="shared" si="1"/>
        <v>42</v>
      </c>
      <c r="L84" s="20">
        <v>0.67</v>
      </c>
      <c r="M84" s="17" t="str">
        <f>IFERROR(_xlfn.XLOOKUP(A84,'Master Position'!$B$2:$B$124,'Master Position'!$A$2:$A$124),"")</f>
        <v>Data</v>
      </c>
      <c r="N84" s="17" t="str">
        <f>IFERROR(_xlfn.XLOOKUP(A84,'Master Position'!$B$2:$B$124,'Master Position'!$C$2:$C$124),"")</f>
        <v>Supervisor</v>
      </c>
      <c r="O84" s="17" t="str">
        <f>IFERROR(_xlfn.XLOOKUP(N84,'Master Salary'!$B$2:$B$8,'Master Salary'!$A$2:$A$8),"")</f>
        <v>SP</v>
      </c>
      <c r="P84" s="21">
        <f>IFERROR(_xlfn.XLOOKUP(N84,'Master Salary'!$B$2:$B$8,'Master Salary'!$C$2:$C$8),"")</f>
        <v>7000000</v>
      </c>
      <c r="Q84" s="21">
        <f>IFERROR(IF(L84&gt;90%,P84*_xlfn.XLOOKUP(N84,'Master Bonus'!$A$3:$A$9,'Master Bonus'!$B$3:$B$9),0),"")</f>
        <v>0</v>
      </c>
    </row>
    <row r="85" spans="1:17" x14ac:dyDescent="0.3">
      <c r="A85" s="17" t="s">
        <v>234</v>
      </c>
      <c r="B85" s="17" t="s">
        <v>235</v>
      </c>
      <c r="C85" s="17" t="s">
        <v>14</v>
      </c>
      <c r="D85" s="17" t="s">
        <v>27</v>
      </c>
      <c r="E85" s="18">
        <v>44594</v>
      </c>
      <c r="F85" s="17" t="s">
        <v>23</v>
      </c>
      <c r="G85" s="17" t="s">
        <v>327</v>
      </c>
      <c r="H85" s="17" t="str">
        <f>IFERROR(_xlfn.XLOOKUP(G85,'Master Gender'!$B$2:$B$3,'Master Gender'!$A$2:$A$3),"")</f>
        <v>Perempuan</v>
      </c>
      <c r="I85" s="17" t="s">
        <v>236</v>
      </c>
      <c r="J85" s="19">
        <v>33168</v>
      </c>
      <c r="K85" s="17">
        <f t="shared" si="1"/>
        <v>35</v>
      </c>
      <c r="L85" s="20">
        <v>0.83</v>
      </c>
      <c r="M85" s="17" t="str">
        <f>IFERROR(_xlfn.XLOOKUP(A85,'Master Position'!$B$2:$B$124,'Master Position'!$A$2:$A$124),"")</f>
        <v>Sales</v>
      </c>
      <c r="N85" s="17" t="str">
        <f>IFERROR(_xlfn.XLOOKUP(A85,'Master Position'!$B$2:$B$124,'Master Position'!$C$2:$C$124),"")</f>
        <v>Senior Staff</v>
      </c>
      <c r="O85" s="17" t="str">
        <f>IFERROR(_xlfn.XLOOKUP(N85,'Master Salary'!$B$2:$B$8,'Master Salary'!$A$2:$A$8),"")</f>
        <v>SS</v>
      </c>
      <c r="P85" s="21">
        <f>IFERROR(_xlfn.XLOOKUP(N85,'Master Salary'!$B$2:$B$8,'Master Salary'!$C$2:$C$8),"")</f>
        <v>5000000</v>
      </c>
      <c r="Q85" s="21">
        <f>IFERROR(IF(L85&gt;90%,P85*_xlfn.XLOOKUP(N85,'Master Bonus'!$A$3:$A$9,'Master Bonus'!$B$3:$B$9),0),"")</f>
        <v>0</v>
      </c>
    </row>
    <row r="86" spans="1:17" x14ac:dyDescent="0.3">
      <c r="A86" s="17" t="s">
        <v>237</v>
      </c>
      <c r="B86" s="17" t="s">
        <v>238</v>
      </c>
      <c r="C86" s="17" t="s">
        <v>14</v>
      </c>
      <c r="D86" s="17" t="s">
        <v>15</v>
      </c>
      <c r="E86" s="18">
        <v>44858</v>
      </c>
      <c r="F86" s="17" t="s">
        <v>23</v>
      </c>
      <c r="G86" s="17" t="s">
        <v>327</v>
      </c>
      <c r="H86" s="17" t="str">
        <f>IFERROR(_xlfn.XLOOKUP(G86,'Master Gender'!$B$2:$B$3,'Master Gender'!$A$2:$A$3),"")</f>
        <v>Perempuan</v>
      </c>
      <c r="I86" s="17" t="s">
        <v>159</v>
      </c>
      <c r="J86" s="19">
        <v>36058</v>
      </c>
      <c r="K86" s="17">
        <f t="shared" si="1"/>
        <v>27</v>
      </c>
      <c r="L86" s="20">
        <v>0.61</v>
      </c>
      <c r="M86" s="17" t="str">
        <f>IFERROR(_xlfn.XLOOKUP(A86,'Master Position'!$B$2:$B$124,'Master Position'!$A$2:$A$124),"")</f>
        <v>Customer Service</v>
      </c>
      <c r="N86" s="17" t="str">
        <f>IFERROR(_xlfn.XLOOKUP(A86,'Master Position'!$B$2:$B$124,'Master Position'!$C$2:$C$124),"")</f>
        <v>Senior Staff</v>
      </c>
      <c r="O86" s="17" t="str">
        <f>IFERROR(_xlfn.XLOOKUP(N86,'Master Salary'!$B$2:$B$8,'Master Salary'!$A$2:$A$8),"")</f>
        <v>SS</v>
      </c>
      <c r="P86" s="21">
        <f>IFERROR(_xlfn.XLOOKUP(N86,'Master Salary'!$B$2:$B$8,'Master Salary'!$C$2:$C$8),"")</f>
        <v>5000000</v>
      </c>
      <c r="Q86" s="21">
        <f>IFERROR(IF(L86&gt;90%,P86*_xlfn.XLOOKUP(N86,'Master Bonus'!$A$3:$A$9,'Master Bonus'!$B$3:$B$9),0),"")</f>
        <v>0</v>
      </c>
    </row>
    <row r="87" spans="1:17" x14ac:dyDescent="0.3">
      <c r="A87" s="17" t="s">
        <v>240</v>
      </c>
      <c r="B87" s="17" t="s">
        <v>241</v>
      </c>
      <c r="C87" s="17" t="s">
        <v>14</v>
      </c>
      <c r="D87" s="17" t="s">
        <v>27</v>
      </c>
      <c r="E87" s="18">
        <v>38869</v>
      </c>
      <c r="F87" s="17" t="s">
        <v>23</v>
      </c>
      <c r="G87" s="17" t="s">
        <v>327</v>
      </c>
      <c r="H87" s="17" t="str">
        <f>IFERROR(_xlfn.XLOOKUP(G87,'Master Gender'!$B$2:$B$3,'Master Gender'!$A$2:$A$3),"")</f>
        <v>Perempuan</v>
      </c>
      <c r="I87" s="17" t="s">
        <v>14</v>
      </c>
      <c r="J87" s="19">
        <v>28691</v>
      </c>
      <c r="K87" s="17">
        <f t="shared" si="1"/>
        <v>47</v>
      </c>
      <c r="L87" s="20">
        <v>0.64</v>
      </c>
      <c r="M87" s="17" t="str">
        <f>IFERROR(_xlfn.XLOOKUP(A87,'Master Position'!$B$2:$B$124,'Master Position'!$A$2:$A$124),"")</f>
        <v>Executive</v>
      </c>
      <c r="N87" s="17" t="str">
        <f>IFERROR(_xlfn.XLOOKUP(A87,'Master Position'!$B$2:$B$124,'Master Position'!$C$2:$C$124),"")</f>
        <v>Supervisor</v>
      </c>
      <c r="O87" s="17" t="str">
        <f>IFERROR(_xlfn.XLOOKUP(N87,'Master Salary'!$B$2:$B$8,'Master Salary'!$A$2:$A$8),"")</f>
        <v>SP</v>
      </c>
      <c r="P87" s="21">
        <f>IFERROR(_xlfn.XLOOKUP(N87,'Master Salary'!$B$2:$B$8,'Master Salary'!$C$2:$C$8),"")</f>
        <v>7000000</v>
      </c>
      <c r="Q87" s="21">
        <f>IFERROR(IF(L87&gt;90%,P87*_xlfn.XLOOKUP(N87,'Master Bonus'!$A$3:$A$9,'Master Bonus'!$B$3:$B$9),0),"")</f>
        <v>0</v>
      </c>
    </row>
    <row r="88" spans="1:17" x14ac:dyDescent="0.3">
      <c r="A88" s="17" t="s">
        <v>242</v>
      </c>
      <c r="B88" s="17" t="s">
        <v>243</v>
      </c>
      <c r="C88" s="17" t="s">
        <v>14</v>
      </c>
      <c r="D88" s="17" t="s">
        <v>27</v>
      </c>
      <c r="E88" s="18">
        <v>43216</v>
      </c>
      <c r="F88" s="17" t="s">
        <v>23</v>
      </c>
      <c r="G88" s="17" t="s">
        <v>327</v>
      </c>
      <c r="H88" s="17" t="str">
        <f>IFERROR(_xlfn.XLOOKUP(G88,'Master Gender'!$B$2:$B$3,'Master Gender'!$A$2:$A$3),"")</f>
        <v>Perempuan</v>
      </c>
      <c r="I88" s="17" t="s">
        <v>14</v>
      </c>
      <c r="J88" s="19">
        <v>31562</v>
      </c>
      <c r="K88" s="17">
        <f t="shared" si="1"/>
        <v>39</v>
      </c>
      <c r="L88" s="20">
        <v>0.87</v>
      </c>
      <c r="M88" s="17" t="str">
        <f>IFERROR(_xlfn.XLOOKUP(A88,'Master Position'!$B$2:$B$124,'Master Position'!$A$2:$A$124),"")</f>
        <v>Sales</v>
      </c>
      <c r="N88" s="17" t="str">
        <f>IFERROR(_xlfn.XLOOKUP(A88,'Master Position'!$B$2:$B$124,'Master Position'!$C$2:$C$124),"")</f>
        <v>Senior Staff</v>
      </c>
      <c r="O88" s="17" t="str">
        <f>IFERROR(_xlfn.XLOOKUP(N88,'Master Salary'!$B$2:$B$8,'Master Salary'!$A$2:$A$8),"")</f>
        <v>SS</v>
      </c>
      <c r="P88" s="21">
        <f>IFERROR(_xlfn.XLOOKUP(N88,'Master Salary'!$B$2:$B$8,'Master Salary'!$C$2:$C$8),"")</f>
        <v>5000000</v>
      </c>
      <c r="Q88" s="21">
        <f>IFERROR(IF(L88&gt;90%,P88*_xlfn.XLOOKUP(N88,'Master Bonus'!$A$3:$A$9,'Master Bonus'!$B$3:$B$9),0),"")</f>
        <v>0</v>
      </c>
    </row>
    <row r="89" spans="1:17" x14ac:dyDescent="0.3">
      <c r="A89" s="17" t="s">
        <v>244</v>
      </c>
      <c r="B89" s="17" t="s">
        <v>245</v>
      </c>
      <c r="C89" s="17" t="s">
        <v>14</v>
      </c>
      <c r="D89" s="17" t="s">
        <v>27</v>
      </c>
      <c r="E89" s="18">
        <v>44886</v>
      </c>
      <c r="F89" s="17" t="s">
        <v>23</v>
      </c>
      <c r="G89" s="17" t="s">
        <v>327</v>
      </c>
      <c r="H89" s="17" t="str">
        <f>IFERROR(_xlfn.XLOOKUP(G89,'Master Gender'!$B$2:$B$3,'Master Gender'!$A$2:$A$3),"")</f>
        <v>Perempuan</v>
      </c>
      <c r="I89" s="17" t="s">
        <v>190</v>
      </c>
      <c r="J89" s="19">
        <v>32788</v>
      </c>
      <c r="K89" s="17">
        <f t="shared" si="1"/>
        <v>36</v>
      </c>
      <c r="L89" s="20">
        <v>1</v>
      </c>
      <c r="M89" s="17" t="str">
        <f>IFERROR(_xlfn.XLOOKUP(A89,'Master Position'!$B$2:$B$124,'Master Position'!$A$2:$A$124),"")</f>
        <v>Human Resources</v>
      </c>
      <c r="N89" s="17" t="str">
        <f>IFERROR(_xlfn.XLOOKUP(A89,'Master Position'!$B$2:$B$124,'Master Position'!$C$2:$C$124),"")</f>
        <v>Senior Staff</v>
      </c>
      <c r="O89" s="17" t="str">
        <f>IFERROR(_xlfn.XLOOKUP(N89,'Master Salary'!$B$2:$B$8,'Master Salary'!$A$2:$A$8),"")</f>
        <v>SS</v>
      </c>
      <c r="P89" s="21">
        <f>IFERROR(_xlfn.XLOOKUP(N89,'Master Salary'!$B$2:$B$8,'Master Salary'!$C$2:$C$8),"")</f>
        <v>5000000</v>
      </c>
      <c r="Q89" s="21">
        <f>IFERROR(IF(L89&gt;90%,P89*_xlfn.XLOOKUP(N89,'Master Bonus'!$A$3:$A$9,'Master Bonus'!$B$3:$B$9),0),"")</f>
        <v>5000000</v>
      </c>
    </row>
    <row r="90" spans="1:17" x14ac:dyDescent="0.3">
      <c r="A90" s="17" t="s">
        <v>246</v>
      </c>
      <c r="B90" s="17" t="s">
        <v>247</v>
      </c>
      <c r="C90" s="17" t="s">
        <v>14</v>
      </c>
      <c r="D90" s="17" t="s">
        <v>15</v>
      </c>
      <c r="E90" s="18">
        <v>44531</v>
      </c>
      <c r="F90" s="17" t="s">
        <v>23</v>
      </c>
      <c r="G90" s="17" t="s">
        <v>327</v>
      </c>
      <c r="H90" s="17" t="str">
        <f>IFERROR(_xlfn.XLOOKUP(G90,'Master Gender'!$B$2:$B$3,'Master Gender'!$A$2:$A$3),"")</f>
        <v>Perempuan</v>
      </c>
      <c r="I90" s="17" t="s">
        <v>14</v>
      </c>
      <c r="J90" s="19">
        <v>34627</v>
      </c>
      <c r="K90" s="17">
        <f t="shared" si="1"/>
        <v>31</v>
      </c>
      <c r="L90" s="20">
        <v>0.89</v>
      </c>
      <c r="M90" s="17" t="str">
        <f>IFERROR(_xlfn.XLOOKUP(A90,'Master Position'!$B$2:$B$124,'Master Position'!$A$2:$A$124),"")</f>
        <v>Sales</v>
      </c>
      <c r="N90" s="17" t="str">
        <f>IFERROR(_xlfn.XLOOKUP(A90,'Master Position'!$B$2:$B$124,'Master Position'!$C$2:$C$124),"")</f>
        <v>Staff</v>
      </c>
      <c r="O90" s="17" t="str">
        <f>IFERROR(_xlfn.XLOOKUP(N90,'Master Salary'!$B$2:$B$8,'Master Salary'!$A$2:$A$8),"")</f>
        <v>ST</v>
      </c>
      <c r="P90" s="21">
        <f>IFERROR(_xlfn.XLOOKUP(N90,'Master Salary'!$B$2:$B$8,'Master Salary'!$C$2:$C$8),"")</f>
        <v>4000000</v>
      </c>
      <c r="Q90" s="21">
        <f>IFERROR(IF(L90&gt;90%,P90*_xlfn.XLOOKUP(N90,'Master Bonus'!$A$3:$A$9,'Master Bonus'!$B$3:$B$9),0),"")</f>
        <v>0</v>
      </c>
    </row>
    <row r="91" spans="1:17" x14ac:dyDescent="0.3">
      <c r="A91" s="17" t="s">
        <v>248</v>
      </c>
      <c r="B91" s="17" t="s">
        <v>249</v>
      </c>
      <c r="C91" s="17" t="s">
        <v>14</v>
      </c>
      <c r="D91" s="17" t="s">
        <v>15</v>
      </c>
      <c r="E91" s="18">
        <v>43430</v>
      </c>
      <c r="F91" s="17" t="s">
        <v>23</v>
      </c>
      <c r="G91" s="17" t="s">
        <v>327</v>
      </c>
      <c r="H91" s="17" t="str">
        <f>IFERROR(_xlfn.XLOOKUP(G91,'Master Gender'!$B$2:$B$3,'Master Gender'!$A$2:$A$3),"")</f>
        <v>Perempuan</v>
      </c>
      <c r="I91" s="17" t="s">
        <v>14</v>
      </c>
      <c r="J91" s="19">
        <v>32242</v>
      </c>
      <c r="K91" s="17">
        <f t="shared" si="1"/>
        <v>37</v>
      </c>
      <c r="L91" s="20">
        <v>0.82</v>
      </c>
      <c r="M91" s="17" t="str">
        <f>IFERROR(_xlfn.XLOOKUP(A91,'Master Position'!$B$2:$B$124,'Master Position'!$A$2:$A$124),"")</f>
        <v>Procurement</v>
      </c>
      <c r="N91" s="17" t="str">
        <f>IFERROR(_xlfn.XLOOKUP(A91,'Master Position'!$B$2:$B$124,'Master Position'!$C$2:$C$124),"")</f>
        <v>Supervisor</v>
      </c>
      <c r="O91" s="17" t="str">
        <f>IFERROR(_xlfn.XLOOKUP(N91,'Master Salary'!$B$2:$B$8,'Master Salary'!$A$2:$A$8),"")</f>
        <v>SP</v>
      </c>
      <c r="P91" s="21">
        <f>IFERROR(_xlfn.XLOOKUP(N91,'Master Salary'!$B$2:$B$8,'Master Salary'!$C$2:$C$8),"")</f>
        <v>7000000</v>
      </c>
      <c r="Q91" s="21">
        <f>IFERROR(IF(L91&gt;90%,P91*_xlfn.XLOOKUP(N91,'Master Bonus'!$A$3:$A$9,'Master Bonus'!$B$3:$B$9),0),"")</f>
        <v>0</v>
      </c>
    </row>
    <row r="92" spans="1:17" x14ac:dyDescent="0.3">
      <c r="A92" s="17" t="s">
        <v>250</v>
      </c>
      <c r="B92" s="17" t="s">
        <v>251</v>
      </c>
      <c r="C92" s="17" t="s">
        <v>14</v>
      </c>
      <c r="D92" s="17" t="s">
        <v>27</v>
      </c>
      <c r="E92" s="18">
        <v>43647</v>
      </c>
      <c r="F92" s="17" t="s">
        <v>23</v>
      </c>
      <c r="G92" s="17" t="s">
        <v>328</v>
      </c>
      <c r="H92" s="17" t="str">
        <f>IFERROR(_xlfn.XLOOKUP(G92,'Master Gender'!$B$2:$B$3,'Master Gender'!$A$2:$A$3),"")</f>
        <v>Laki-Laki</v>
      </c>
      <c r="I92" s="17" t="s">
        <v>24</v>
      </c>
      <c r="J92" s="19">
        <v>33335</v>
      </c>
      <c r="K92" s="17">
        <f t="shared" si="1"/>
        <v>34</v>
      </c>
      <c r="L92" s="20">
        <v>0.76</v>
      </c>
      <c r="M92" s="17" t="str">
        <f>IFERROR(_xlfn.XLOOKUP(A92,'Master Position'!$B$2:$B$124,'Master Position'!$A$2:$A$124),"")</f>
        <v>IT</v>
      </c>
      <c r="N92" s="17" t="str">
        <f>IFERROR(_xlfn.XLOOKUP(A92,'Master Position'!$B$2:$B$124,'Master Position'!$C$2:$C$124),"")</f>
        <v>Staff</v>
      </c>
      <c r="O92" s="17" t="str">
        <f>IFERROR(_xlfn.XLOOKUP(N92,'Master Salary'!$B$2:$B$8,'Master Salary'!$A$2:$A$8),"")</f>
        <v>ST</v>
      </c>
      <c r="P92" s="21">
        <f>IFERROR(_xlfn.XLOOKUP(N92,'Master Salary'!$B$2:$B$8,'Master Salary'!$C$2:$C$8),"")</f>
        <v>4000000</v>
      </c>
      <c r="Q92" s="21">
        <f>IFERROR(IF(L92&gt;90%,P92*_xlfn.XLOOKUP(N92,'Master Bonus'!$A$3:$A$9,'Master Bonus'!$B$3:$B$9),0),"")</f>
        <v>0</v>
      </c>
    </row>
    <row r="93" spans="1:17" x14ac:dyDescent="0.3">
      <c r="A93" s="17" t="s">
        <v>252</v>
      </c>
      <c r="B93" s="17" t="s">
        <v>253</v>
      </c>
      <c r="C93" s="17" t="s">
        <v>14</v>
      </c>
      <c r="D93" s="17" t="s">
        <v>27</v>
      </c>
      <c r="E93" s="18">
        <v>43416</v>
      </c>
      <c r="F93" s="17" t="s">
        <v>23</v>
      </c>
      <c r="G93" s="17" t="s">
        <v>328</v>
      </c>
      <c r="H93" s="17" t="str">
        <f>IFERROR(_xlfn.XLOOKUP(G93,'Master Gender'!$B$2:$B$3,'Master Gender'!$A$2:$A$3),"")</f>
        <v>Laki-Laki</v>
      </c>
      <c r="I93" s="17" t="s">
        <v>254</v>
      </c>
      <c r="J93" s="19">
        <v>32759</v>
      </c>
      <c r="K93" s="17">
        <f t="shared" si="1"/>
        <v>36</v>
      </c>
      <c r="L93" s="20">
        <v>0.94</v>
      </c>
      <c r="M93" s="17" t="str">
        <f>IFERROR(_xlfn.XLOOKUP(A93,'Master Position'!$B$2:$B$124,'Master Position'!$A$2:$A$124),"")</f>
        <v>Data</v>
      </c>
      <c r="N93" s="17" t="str">
        <f>IFERROR(_xlfn.XLOOKUP(A93,'Master Position'!$B$2:$B$124,'Master Position'!$C$2:$C$124),"")</f>
        <v>Senior Staff</v>
      </c>
      <c r="O93" s="17" t="str">
        <f>IFERROR(_xlfn.XLOOKUP(N93,'Master Salary'!$B$2:$B$8,'Master Salary'!$A$2:$A$8),"")</f>
        <v>SS</v>
      </c>
      <c r="P93" s="21">
        <f>IFERROR(_xlfn.XLOOKUP(N93,'Master Salary'!$B$2:$B$8,'Master Salary'!$C$2:$C$8),"")</f>
        <v>5000000</v>
      </c>
      <c r="Q93" s="21">
        <f>IFERROR(IF(L93&gt;90%,P93*_xlfn.XLOOKUP(N93,'Master Bonus'!$A$3:$A$9,'Master Bonus'!$B$3:$B$9),0),"")</f>
        <v>5000000</v>
      </c>
    </row>
    <row r="94" spans="1:17" x14ac:dyDescent="0.3">
      <c r="A94" s="17" t="s">
        <v>255</v>
      </c>
      <c r="B94" s="17" t="s">
        <v>256</v>
      </c>
      <c r="C94" s="17" t="s">
        <v>14</v>
      </c>
      <c r="D94" s="17" t="s">
        <v>27</v>
      </c>
      <c r="E94" s="18">
        <v>43416</v>
      </c>
      <c r="F94" s="17" t="s">
        <v>23</v>
      </c>
      <c r="G94" s="17" t="s">
        <v>328</v>
      </c>
      <c r="H94" s="17" t="str">
        <f>IFERROR(_xlfn.XLOOKUP(G94,'Master Gender'!$B$2:$B$3,'Master Gender'!$A$2:$A$3),"")</f>
        <v>Laki-Laki</v>
      </c>
      <c r="I94" s="17" t="s">
        <v>254</v>
      </c>
      <c r="J94" s="19">
        <v>32759</v>
      </c>
      <c r="K94" s="17">
        <f t="shared" si="1"/>
        <v>36</v>
      </c>
      <c r="L94" s="20">
        <v>0.76</v>
      </c>
      <c r="M94" s="17" t="str">
        <f>IFERROR(_xlfn.XLOOKUP(A94,'Master Position'!$B$2:$B$124,'Master Position'!$A$2:$A$124),"")</f>
        <v>Human Resources</v>
      </c>
      <c r="N94" s="17" t="str">
        <f>IFERROR(_xlfn.XLOOKUP(A94,'Master Position'!$B$2:$B$124,'Master Position'!$C$2:$C$124),"")</f>
        <v>Staff</v>
      </c>
      <c r="O94" s="17" t="str">
        <f>IFERROR(_xlfn.XLOOKUP(N94,'Master Salary'!$B$2:$B$8,'Master Salary'!$A$2:$A$8),"")</f>
        <v>ST</v>
      </c>
      <c r="P94" s="21">
        <f>IFERROR(_xlfn.XLOOKUP(N94,'Master Salary'!$B$2:$B$8,'Master Salary'!$C$2:$C$8),"")</f>
        <v>4000000</v>
      </c>
      <c r="Q94" s="21">
        <f>IFERROR(IF(L94&gt;90%,P94*_xlfn.XLOOKUP(N94,'Master Bonus'!$A$3:$A$9,'Master Bonus'!$B$3:$B$9),0),"")</f>
        <v>0</v>
      </c>
    </row>
    <row r="95" spans="1:17" x14ac:dyDescent="0.3">
      <c r="A95" s="17" t="s">
        <v>257</v>
      </c>
      <c r="B95" s="17" t="s">
        <v>258</v>
      </c>
      <c r="C95" s="17" t="s">
        <v>14</v>
      </c>
      <c r="D95" s="17" t="s">
        <v>27</v>
      </c>
      <c r="E95" s="18">
        <v>44641</v>
      </c>
      <c r="F95" s="17" t="s">
        <v>23</v>
      </c>
      <c r="G95" s="17" t="s">
        <v>328</v>
      </c>
      <c r="H95" s="17" t="str">
        <f>IFERROR(_xlfn.XLOOKUP(G95,'Master Gender'!$B$2:$B$3,'Master Gender'!$A$2:$A$3),"")</f>
        <v>Laki-Laki</v>
      </c>
      <c r="I95" s="17" t="s">
        <v>14</v>
      </c>
      <c r="J95" s="19">
        <v>34399</v>
      </c>
      <c r="K95" s="17">
        <f t="shared" si="1"/>
        <v>31</v>
      </c>
      <c r="L95" s="20">
        <v>0.9</v>
      </c>
      <c r="M95" s="17" t="str">
        <f>IFERROR(_xlfn.XLOOKUP(A95,'Master Position'!$B$2:$B$124,'Master Position'!$A$2:$A$124),"")</f>
        <v>IT</v>
      </c>
      <c r="N95" s="17" t="str">
        <f>IFERROR(_xlfn.XLOOKUP(A95,'Master Position'!$B$2:$B$124,'Master Position'!$C$2:$C$124),"")</f>
        <v>Staff</v>
      </c>
      <c r="O95" s="17" t="str">
        <f>IFERROR(_xlfn.XLOOKUP(N95,'Master Salary'!$B$2:$B$8,'Master Salary'!$A$2:$A$8),"")</f>
        <v>ST</v>
      </c>
      <c r="P95" s="21">
        <f>IFERROR(_xlfn.XLOOKUP(N95,'Master Salary'!$B$2:$B$8,'Master Salary'!$C$2:$C$8),"")</f>
        <v>4000000</v>
      </c>
      <c r="Q95" s="21">
        <f>IFERROR(IF(L95&gt;90%,P95*_xlfn.XLOOKUP(N95,'Master Bonus'!$A$3:$A$9,'Master Bonus'!$B$3:$B$9),0),"")</f>
        <v>0</v>
      </c>
    </row>
    <row r="96" spans="1:17" x14ac:dyDescent="0.3">
      <c r="A96" s="17" t="s">
        <v>259</v>
      </c>
      <c r="B96" s="17" t="s">
        <v>260</v>
      </c>
      <c r="C96" s="17" t="s">
        <v>14</v>
      </c>
      <c r="D96" s="17" t="s">
        <v>15</v>
      </c>
      <c r="E96" s="18">
        <v>42597</v>
      </c>
      <c r="F96" s="17" t="s">
        <v>23</v>
      </c>
      <c r="G96" s="17" t="s">
        <v>328</v>
      </c>
      <c r="H96" s="17" t="str">
        <f>IFERROR(_xlfn.XLOOKUP(G96,'Master Gender'!$B$2:$B$3,'Master Gender'!$A$2:$A$3),"")</f>
        <v>Laki-Laki</v>
      </c>
      <c r="I96" s="17" t="s">
        <v>14</v>
      </c>
      <c r="J96" s="19">
        <v>33087</v>
      </c>
      <c r="K96" s="17">
        <f t="shared" si="1"/>
        <v>35</v>
      </c>
      <c r="L96" s="20">
        <v>0.63</v>
      </c>
      <c r="M96" s="17" t="str">
        <f>IFERROR(_xlfn.XLOOKUP(A96,'Master Position'!$B$2:$B$124,'Master Position'!$A$2:$A$124),"")</f>
        <v>Data</v>
      </c>
      <c r="N96" s="17" t="str">
        <f>IFERROR(_xlfn.XLOOKUP(A96,'Master Position'!$B$2:$B$124,'Master Position'!$C$2:$C$124),"")</f>
        <v>Staff</v>
      </c>
      <c r="O96" s="17" t="str">
        <f>IFERROR(_xlfn.XLOOKUP(N96,'Master Salary'!$B$2:$B$8,'Master Salary'!$A$2:$A$8),"")</f>
        <v>ST</v>
      </c>
      <c r="P96" s="21">
        <f>IFERROR(_xlfn.XLOOKUP(N96,'Master Salary'!$B$2:$B$8,'Master Salary'!$C$2:$C$8),"")</f>
        <v>4000000</v>
      </c>
      <c r="Q96" s="21">
        <f>IFERROR(IF(L96&gt;90%,P96*_xlfn.XLOOKUP(N96,'Master Bonus'!$A$3:$A$9,'Master Bonus'!$B$3:$B$9),0),"")</f>
        <v>0</v>
      </c>
    </row>
    <row r="97" spans="1:17" x14ac:dyDescent="0.3">
      <c r="A97" s="17" t="s">
        <v>261</v>
      </c>
      <c r="B97" s="17" t="s">
        <v>262</v>
      </c>
      <c r="C97" s="17" t="s">
        <v>14</v>
      </c>
      <c r="D97" s="17" t="s">
        <v>15</v>
      </c>
      <c r="E97" s="18">
        <v>37601</v>
      </c>
      <c r="F97" s="17" t="s">
        <v>23</v>
      </c>
      <c r="G97" s="17" t="s">
        <v>328</v>
      </c>
      <c r="H97" s="17" t="str">
        <f>IFERROR(_xlfn.XLOOKUP(G97,'Master Gender'!$B$2:$B$3,'Master Gender'!$A$2:$A$3),"")</f>
        <v>Laki-Laki</v>
      </c>
      <c r="I97" s="17" t="s">
        <v>85</v>
      </c>
      <c r="J97" s="19">
        <v>29217</v>
      </c>
      <c r="K97" s="17">
        <f t="shared" si="1"/>
        <v>46</v>
      </c>
      <c r="L97" s="20">
        <v>0.7</v>
      </c>
      <c r="M97" s="17" t="str">
        <f>IFERROR(_xlfn.XLOOKUP(A97,'Master Position'!$B$2:$B$124,'Master Position'!$A$2:$A$124),"")</f>
        <v>Sales</v>
      </c>
      <c r="N97" s="17" t="str">
        <f>IFERROR(_xlfn.XLOOKUP(A97,'Master Position'!$B$2:$B$124,'Master Position'!$C$2:$C$124),"")</f>
        <v>Staff</v>
      </c>
      <c r="O97" s="17" t="str">
        <f>IFERROR(_xlfn.XLOOKUP(N97,'Master Salary'!$B$2:$B$8,'Master Salary'!$A$2:$A$8),"")</f>
        <v>ST</v>
      </c>
      <c r="P97" s="21">
        <f>IFERROR(_xlfn.XLOOKUP(N97,'Master Salary'!$B$2:$B$8,'Master Salary'!$C$2:$C$8),"")</f>
        <v>4000000</v>
      </c>
      <c r="Q97" s="21">
        <f>IFERROR(IF(L97&gt;90%,P97*_xlfn.XLOOKUP(N97,'Master Bonus'!$A$3:$A$9,'Master Bonus'!$B$3:$B$9),0),"")</f>
        <v>0</v>
      </c>
    </row>
    <row r="98" spans="1:17" x14ac:dyDescent="0.3">
      <c r="A98" s="17" t="s">
        <v>263</v>
      </c>
      <c r="B98" s="17" t="s">
        <v>264</v>
      </c>
      <c r="C98" s="17" t="s">
        <v>14</v>
      </c>
      <c r="D98" s="17" t="s">
        <v>27</v>
      </c>
      <c r="E98" s="18">
        <v>44172</v>
      </c>
      <c r="F98" s="17" t="s">
        <v>23</v>
      </c>
      <c r="G98" s="17" t="s">
        <v>328</v>
      </c>
      <c r="H98" s="17" t="str">
        <f>IFERROR(_xlfn.XLOOKUP(G98,'Master Gender'!$B$2:$B$3,'Master Gender'!$A$2:$A$3),"")</f>
        <v>Laki-Laki</v>
      </c>
      <c r="I98" s="17" t="s">
        <v>14</v>
      </c>
      <c r="J98" s="19">
        <v>33765</v>
      </c>
      <c r="K98" s="17">
        <f t="shared" si="1"/>
        <v>33</v>
      </c>
      <c r="L98" s="20">
        <v>0.62</v>
      </c>
      <c r="M98" s="17" t="str">
        <f>IFERROR(_xlfn.XLOOKUP(A98,'Master Position'!$B$2:$B$124,'Master Position'!$A$2:$A$124),"")</f>
        <v>Customer Service</v>
      </c>
      <c r="N98" s="17" t="str">
        <f>IFERROR(_xlfn.XLOOKUP(A98,'Master Position'!$B$2:$B$124,'Master Position'!$C$2:$C$124),"")</f>
        <v>Senior Staff</v>
      </c>
      <c r="O98" s="17" t="str">
        <f>IFERROR(_xlfn.XLOOKUP(N98,'Master Salary'!$B$2:$B$8,'Master Salary'!$A$2:$A$8),"")</f>
        <v>SS</v>
      </c>
      <c r="P98" s="21">
        <f>IFERROR(_xlfn.XLOOKUP(N98,'Master Salary'!$B$2:$B$8,'Master Salary'!$C$2:$C$8),"")</f>
        <v>5000000</v>
      </c>
      <c r="Q98" s="21">
        <f>IFERROR(IF(L98&gt;90%,P98*_xlfn.XLOOKUP(N98,'Master Bonus'!$A$3:$A$9,'Master Bonus'!$B$3:$B$9),0),"")</f>
        <v>0</v>
      </c>
    </row>
    <row r="99" spans="1:17" x14ac:dyDescent="0.3">
      <c r="A99" s="17" t="s">
        <v>265</v>
      </c>
      <c r="B99" s="17" t="s">
        <v>266</v>
      </c>
      <c r="C99" s="17" t="s">
        <v>24</v>
      </c>
      <c r="D99" s="17" t="s">
        <v>27</v>
      </c>
      <c r="E99" s="18">
        <v>41792</v>
      </c>
      <c r="F99" s="17" t="s">
        <v>23</v>
      </c>
      <c r="G99" s="17" t="s">
        <v>328</v>
      </c>
      <c r="H99" s="17" t="str">
        <f>IFERROR(_xlfn.XLOOKUP(G99,'Master Gender'!$B$2:$B$3,'Master Gender'!$A$2:$A$3),"")</f>
        <v>Laki-Laki</v>
      </c>
      <c r="I99" s="17" t="s">
        <v>24</v>
      </c>
      <c r="J99" s="19">
        <v>27683</v>
      </c>
      <c r="K99" s="17">
        <f t="shared" si="1"/>
        <v>50</v>
      </c>
      <c r="L99" s="20">
        <v>0.67</v>
      </c>
      <c r="M99" s="17" t="str">
        <f>IFERROR(_xlfn.XLOOKUP(A99,'Master Position'!$B$2:$B$124,'Master Position'!$A$2:$A$124),"")</f>
        <v>IT</v>
      </c>
      <c r="N99" s="17" t="str">
        <f>IFERROR(_xlfn.XLOOKUP(A99,'Master Position'!$B$2:$B$124,'Master Position'!$C$2:$C$124),"")</f>
        <v>Supervisor</v>
      </c>
      <c r="O99" s="17" t="str">
        <f>IFERROR(_xlfn.XLOOKUP(N99,'Master Salary'!$B$2:$B$8,'Master Salary'!$A$2:$A$8),"")</f>
        <v>SP</v>
      </c>
      <c r="P99" s="21">
        <f>IFERROR(_xlfn.XLOOKUP(N99,'Master Salary'!$B$2:$B$8,'Master Salary'!$C$2:$C$8),"")</f>
        <v>7000000</v>
      </c>
      <c r="Q99" s="21">
        <f>IFERROR(IF(L99&gt;90%,P99*_xlfn.XLOOKUP(N99,'Master Bonus'!$A$3:$A$9,'Master Bonus'!$B$3:$B$9),0),"")</f>
        <v>0</v>
      </c>
    </row>
    <row r="100" spans="1:17" x14ac:dyDescent="0.3">
      <c r="A100" s="17" t="s">
        <v>267</v>
      </c>
      <c r="B100" s="17" t="s">
        <v>268</v>
      </c>
      <c r="C100" s="17" t="s">
        <v>14</v>
      </c>
      <c r="D100" s="17" t="s">
        <v>15</v>
      </c>
      <c r="E100" s="18">
        <v>42380</v>
      </c>
      <c r="F100" s="17" t="s">
        <v>23</v>
      </c>
      <c r="G100" s="17" t="s">
        <v>328</v>
      </c>
      <c r="H100" s="17" t="str">
        <f>IFERROR(_xlfn.XLOOKUP(G100,'Master Gender'!$B$2:$B$3,'Master Gender'!$A$2:$A$3),"")</f>
        <v>Laki-Laki</v>
      </c>
      <c r="I100" s="17" t="s">
        <v>24</v>
      </c>
      <c r="J100" s="19">
        <v>34119</v>
      </c>
      <c r="K100" s="17">
        <f t="shared" si="1"/>
        <v>32</v>
      </c>
      <c r="L100" s="20">
        <v>0.6</v>
      </c>
      <c r="M100" s="17" t="str">
        <f>IFERROR(_xlfn.XLOOKUP(A100,'Master Position'!$B$2:$B$124,'Master Position'!$A$2:$A$124),"")</f>
        <v>Procurement</v>
      </c>
      <c r="N100" s="17" t="str">
        <f>IFERROR(_xlfn.XLOOKUP(A100,'Master Position'!$B$2:$B$124,'Master Position'!$C$2:$C$124),"")</f>
        <v>Staff</v>
      </c>
      <c r="O100" s="17" t="str">
        <f>IFERROR(_xlfn.XLOOKUP(N100,'Master Salary'!$B$2:$B$8,'Master Salary'!$A$2:$A$8),"")</f>
        <v>ST</v>
      </c>
      <c r="P100" s="21">
        <f>IFERROR(_xlfn.XLOOKUP(N100,'Master Salary'!$B$2:$B$8,'Master Salary'!$C$2:$C$8),"")</f>
        <v>4000000</v>
      </c>
      <c r="Q100" s="21">
        <f>IFERROR(IF(L100&gt;90%,P100*_xlfn.XLOOKUP(N100,'Master Bonus'!$A$3:$A$9,'Master Bonus'!$B$3:$B$9),0),"")</f>
        <v>0</v>
      </c>
    </row>
    <row r="101" spans="1:17" x14ac:dyDescent="0.3">
      <c r="A101" s="17" t="s">
        <v>269</v>
      </c>
      <c r="B101" s="17" t="s">
        <v>270</v>
      </c>
      <c r="C101" s="17" t="s">
        <v>14</v>
      </c>
      <c r="D101" s="17" t="s">
        <v>27</v>
      </c>
      <c r="E101" s="18">
        <v>44977</v>
      </c>
      <c r="F101" s="17" t="s">
        <v>23</v>
      </c>
      <c r="G101" s="17" t="s">
        <v>328</v>
      </c>
      <c r="H101" s="17" t="str">
        <f>IFERROR(_xlfn.XLOOKUP(G101,'Master Gender'!$B$2:$B$3,'Master Gender'!$A$2:$A$3),"")</f>
        <v>Laki-Laki</v>
      </c>
      <c r="I101" s="17" t="s">
        <v>271</v>
      </c>
      <c r="J101" s="19">
        <v>34684</v>
      </c>
      <c r="K101" s="17">
        <f t="shared" si="1"/>
        <v>31</v>
      </c>
      <c r="L101" s="20">
        <v>0.81</v>
      </c>
      <c r="M101" s="17" t="str">
        <f>IFERROR(_xlfn.XLOOKUP(A101,'Master Position'!$B$2:$B$124,'Master Position'!$A$2:$A$124),"")</f>
        <v>IT</v>
      </c>
      <c r="N101" s="17" t="str">
        <f>IFERROR(_xlfn.XLOOKUP(A101,'Master Position'!$B$2:$B$124,'Master Position'!$C$2:$C$124),"")</f>
        <v>Senior Staff</v>
      </c>
      <c r="O101" s="17" t="str">
        <f>IFERROR(_xlfn.XLOOKUP(N101,'Master Salary'!$B$2:$B$8,'Master Salary'!$A$2:$A$8),"")</f>
        <v>SS</v>
      </c>
      <c r="P101" s="21">
        <f>IFERROR(_xlfn.XLOOKUP(N101,'Master Salary'!$B$2:$B$8,'Master Salary'!$C$2:$C$8),"")</f>
        <v>5000000</v>
      </c>
      <c r="Q101" s="21">
        <f>IFERROR(IF(L101&gt;90%,P101*_xlfn.XLOOKUP(N101,'Master Bonus'!$A$3:$A$9,'Master Bonus'!$B$3:$B$9),0),"")</f>
        <v>0</v>
      </c>
    </row>
    <row r="102" spans="1:17" x14ac:dyDescent="0.3">
      <c r="A102" s="17" t="s">
        <v>272</v>
      </c>
      <c r="B102" s="17" t="s">
        <v>273</v>
      </c>
      <c r="C102" s="17" t="s">
        <v>274</v>
      </c>
      <c r="D102" s="17" t="s">
        <v>27</v>
      </c>
      <c r="E102" s="18">
        <v>38999</v>
      </c>
      <c r="F102" s="17" t="s">
        <v>23</v>
      </c>
      <c r="G102" s="17" t="s">
        <v>328</v>
      </c>
      <c r="H102" s="17" t="str">
        <f>IFERROR(_xlfn.XLOOKUP(G102,'Master Gender'!$B$2:$B$3,'Master Gender'!$A$2:$A$3),"")</f>
        <v>Laki-Laki</v>
      </c>
      <c r="I102" s="17" t="s">
        <v>274</v>
      </c>
      <c r="J102" s="19">
        <v>31060</v>
      </c>
      <c r="K102" s="17">
        <f t="shared" si="1"/>
        <v>40</v>
      </c>
      <c r="L102" s="20">
        <v>0.6</v>
      </c>
      <c r="M102" s="17" t="str">
        <f>IFERROR(_xlfn.XLOOKUP(A102,'Master Position'!$B$2:$B$124,'Master Position'!$A$2:$A$124),"")</f>
        <v>Data</v>
      </c>
      <c r="N102" s="17" t="str">
        <f>IFERROR(_xlfn.XLOOKUP(A102,'Master Position'!$B$2:$B$124,'Master Position'!$C$2:$C$124),"")</f>
        <v>Staff</v>
      </c>
      <c r="O102" s="17" t="str">
        <f>IFERROR(_xlfn.XLOOKUP(N102,'Master Salary'!$B$2:$B$8,'Master Salary'!$A$2:$A$8),"")</f>
        <v>ST</v>
      </c>
      <c r="P102" s="21">
        <f>IFERROR(_xlfn.XLOOKUP(N102,'Master Salary'!$B$2:$B$8,'Master Salary'!$C$2:$C$8),"")</f>
        <v>4000000</v>
      </c>
      <c r="Q102" s="21">
        <f>IFERROR(IF(L102&gt;90%,P102*_xlfn.XLOOKUP(N102,'Master Bonus'!$A$3:$A$9,'Master Bonus'!$B$3:$B$9),0),"")</f>
        <v>0</v>
      </c>
    </row>
    <row r="103" spans="1:17" x14ac:dyDescent="0.3">
      <c r="A103" s="17" t="s">
        <v>275</v>
      </c>
      <c r="B103" s="17" t="s">
        <v>276</v>
      </c>
      <c r="C103" s="17" t="s">
        <v>14</v>
      </c>
      <c r="D103" s="17" t="s">
        <v>15</v>
      </c>
      <c r="E103" s="18">
        <v>42767</v>
      </c>
      <c r="F103" s="17" t="s">
        <v>23</v>
      </c>
      <c r="G103" s="17" t="s">
        <v>328</v>
      </c>
      <c r="H103" s="17" t="str">
        <f>IFERROR(_xlfn.XLOOKUP(G103,'Master Gender'!$B$2:$B$3,'Master Gender'!$A$2:$A$3),"")</f>
        <v>Laki-Laki</v>
      </c>
      <c r="I103" s="17" t="s">
        <v>14</v>
      </c>
      <c r="J103" s="19">
        <v>31701</v>
      </c>
      <c r="K103" s="17">
        <f t="shared" si="1"/>
        <v>39</v>
      </c>
      <c r="L103" s="20">
        <v>0.83</v>
      </c>
      <c r="M103" s="17" t="str">
        <f>IFERROR(_xlfn.XLOOKUP(A103,'Master Position'!$B$2:$B$124,'Master Position'!$A$2:$A$124),"")</f>
        <v>Human Resources</v>
      </c>
      <c r="N103" s="17" t="str">
        <f>IFERROR(_xlfn.XLOOKUP(A103,'Master Position'!$B$2:$B$124,'Master Position'!$C$2:$C$124),"")</f>
        <v>Staff</v>
      </c>
      <c r="O103" s="17" t="str">
        <f>IFERROR(_xlfn.XLOOKUP(N103,'Master Salary'!$B$2:$B$8,'Master Salary'!$A$2:$A$8),"")</f>
        <v>ST</v>
      </c>
      <c r="P103" s="21">
        <f>IFERROR(_xlfn.XLOOKUP(N103,'Master Salary'!$B$2:$B$8,'Master Salary'!$C$2:$C$8),"")</f>
        <v>4000000</v>
      </c>
      <c r="Q103" s="21">
        <f>IFERROR(IF(L103&gt;90%,P103*_xlfn.XLOOKUP(N103,'Master Bonus'!$A$3:$A$9,'Master Bonus'!$B$3:$B$9),0),"")</f>
        <v>0</v>
      </c>
    </row>
    <row r="104" spans="1:17" x14ac:dyDescent="0.3">
      <c r="A104" s="17" t="s">
        <v>277</v>
      </c>
      <c r="B104" s="17" t="s">
        <v>278</v>
      </c>
      <c r="C104" s="17" t="s">
        <v>14</v>
      </c>
      <c r="D104" s="17" t="s">
        <v>27</v>
      </c>
      <c r="E104" s="18">
        <v>43087</v>
      </c>
      <c r="F104" s="17" t="s">
        <v>23</v>
      </c>
      <c r="G104" s="17" t="s">
        <v>328</v>
      </c>
      <c r="H104" s="17" t="str">
        <f>IFERROR(_xlfn.XLOOKUP(G104,'Master Gender'!$B$2:$B$3,'Master Gender'!$A$2:$A$3),"")</f>
        <v>Laki-Laki</v>
      </c>
      <c r="I104" s="17" t="s">
        <v>14</v>
      </c>
      <c r="J104" s="19">
        <v>33043</v>
      </c>
      <c r="K104" s="17">
        <f t="shared" si="1"/>
        <v>35</v>
      </c>
      <c r="L104" s="20">
        <v>0.84</v>
      </c>
      <c r="M104" s="17" t="str">
        <f>IFERROR(_xlfn.XLOOKUP(A104,'Master Position'!$B$2:$B$124,'Master Position'!$A$2:$A$124),"")</f>
        <v>IT</v>
      </c>
      <c r="N104" s="17" t="str">
        <f>IFERROR(_xlfn.XLOOKUP(A104,'Master Position'!$B$2:$B$124,'Master Position'!$C$2:$C$124),"")</f>
        <v>Junior Manager</v>
      </c>
      <c r="O104" s="17" t="str">
        <f>IFERROR(_xlfn.XLOOKUP(N104,'Master Salary'!$B$2:$B$8,'Master Salary'!$A$2:$A$8),"")</f>
        <v>JM</v>
      </c>
      <c r="P104" s="21">
        <f>IFERROR(_xlfn.XLOOKUP(N104,'Master Salary'!$B$2:$B$8,'Master Salary'!$C$2:$C$8),"")</f>
        <v>12000000</v>
      </c>
      <c r="Q104" s="21">
        <f>IFERROR(IF(L104&gt;90%,P104*_xlfn.XLOOKUP(N104,'Master Bonus'!$A$3:$A$9,'Master Bonus'!$B$3:$B$9),0),"")</f>
        <v>0</v>
      </c>
    </row>
    <row r="105" spans="1:17" x14ac:dyDescent="0.3">
      <c r="A105" s="17" t="s">
        <v>279</v>
      </c>
      <c r="B105" s="17" t="s">
        <v>280</v>
      </c>
      <c r="C105" s="17" t="s">
        <v>24</v>
      </c>
      <c r="D105" s="17" t="s">
        <v>27</v>
      </c>
      <c r="E105" s="18">
        <v>39657</v>
      </c>
      <c r="F105" s="17" t="s">
        <v>23</v>
      </c>
      <c r="G105" s="17" t="s">
        <v>328</v>
      </c>
      <c r="H105" s="17" t="str">
        <f>IFERROR(_xlfn.XLOOKUP(G105,'Master Gender'!$B$2:$B$3,'Master Gender'!$A$2:$A$3),"")</f>
        <v>Laki-Laki</v>
      </c>
      <c r="I105" s="17" t="s">
        <v>14</v>
      </c>
      <c r="J105" s="19">
        <v>31016</v>
      </c>
      <c r="K105" s="17">
        <f t="shared" si="1"/>
        <v>41</v>
      </c>
      <c r="L105" s="20">
        <v>0.66</v>
      </c>
      <c r="M105" s="17" t="str">
        <f>IFERROR(_xlfn.XLOOKUP(A105,'Master Position'!$B$2:$B$124,'Master Position'!$A$2:$A$124),"")</f>
        <v>Data</v>
      </c>
      <c r="N105" s="17" t="str">
        <f>IFERROR(_xlfn.XLOOKUP(A105,'Master Position'!$B$2:$B$124,'Master Position'!$C$2:$C$124),"")</f>
        <v>Junior Manager</v>
      </c>
      <c r="O105" s="17" t="str">
        <f>IFERROR(_xlfn.XLOOKUP(N105,'Master Salary'!$B$2:$B$8,'Master Salary'!$A$2:$A$8),"")</f>
        <v>JM</v>
      </c>
      <c r="P105" s="21">
        <f>IFERROR(_xlfn.XLOOKUP(N105,'Master Salary'!$B$2:$B$8,'Master Salary'!$C$2:$C$8),"")</f>
        <v>12000000</v>
      </c>
      <c r="Q105" s="21">
        <f>IFERROR(IF(L105&gt;90%,P105*_xlfn.XLOOKUP(N105,'Master Bonus'!$A$3:$A$9,'Master Bonus'!$B$3:$B$9),0),"")</f>
        <v>0</v>
      </c>
    </row>
    <row r="106" spans="1:17" x14ac:dyDescent="0.3">
      <c r="A106" s="17" t="s">
        <v>281</v>
      </c>
      <c r="B106" s="17" t="s">
        <v>282</v>
      </c>
      <c r="C106" s="17" t="s">
        <v>14</v>
      </c>
      <c r="D106" s="17" t="s">
        <v>15</v>
      </c>
      <c r="E106" s="18">
        <v>43843</v>
      </c>
      <c r="F106" s="17" t="s">
        <v>23</v>
      </c>
      <c r="G106" s="17" t="s">
        <v>327</v>
      </c>
      <c r="H106" s="17" t="str">
        <f>IFERROR(_xlfn.XLOOKUP(G106,'Master Gender'!$B$2:$B$3,'Master Gender'!$A$2:$A$3),"")</f>
        <v>Perempuan</v>
      </c>
      <c r="I106" s="17" t="s">
        <v>283</v>
      </c>
      <c r="J106" s="19">
        <v>35944</v>
      </c>
      <c r="K106" s="17">
        <f t="shared" si="1"/>
        <v>27</v>
      </c>
      <c r="L106" s="20">
        <v>0.77</v>
      </c>
      <c r="M106" s="17" t="str">
        <f>IFERROR(_xlfn.XLOOKUP(A106,'Master Position'!$B$2:$B$124,'Master Position'!$A$2:$A$124),"")</f>
        <v>Sales</v>
      </c>
      <c r="N106" s="17" t="str">
        <f>IFERROR(_xlfn.XLOOKUP(A106,'Master Position'!$B$2:$B$124,'Master Position'!$C$2:$C$124),"")</f>
        <v>Supervisor</v>
      </c>
      <c r="O106" s="17" t="str">
        <f>IFERROR(_xlfn.XLOOKUP(N106,'Master Salary'!$B$2:$B$8,'Master Salary'!$A$2:$A$8),"")</f>
        <v>SP</v>
      </c>
      <c r="P106" s="21">
        <f>IFERROR(_xlfn.XLOOKUP(N106,'Master Salary'!$B$2:$B$8,'Master Salary'!$C$2:$C$8),"")</f>
        <v>7000000</v>
      </c>
      <c r="Q106" s="21">
        <f>IFERROR(IF(L106&gt;90%,P106*_xlfn.XLOOKUP(N106,'Master Bonus'!$A$3:$A$9,'Master Bonus'!$B$3:$B$9),0),"")</f>
        <v>0</v>
      </c>
    </row>
    <row r="107" spans="1:17" x14ac:dyDescent="0.3">
      <c r="A107" s="17" t="s">
        <v>284</v>
      </c>
      <c r="B107" s="17" t="s">
        <v>285</v>
      </c>
      <c r="C107" s="17" t="s">
        <v>24</v>
      </c>
      <c r="D107" s="17" t="s">
        <v>15</v>
      </c>
      <c r="E107" s="18">
        <v>42927</v>
      </c>
      <c r="F107" s="17" t="s">
        <v>23</v>
      </c>
      <c r="G107" s="17" t="s">
        <v>327</v>
      </c>
      <c r="H107" s="17" t="str">
        <f>IFERROR(_xlfn.XLOOKUP(G107,'Master Gender'!$B$2:$B$3,'Master Gender'!$A$2:$A$3),"")</f>
        <v>Perempuan</v>
      </c>
      <c r="I107" s="17" t="s">
        <v>286</v>
      </c>
      <c r="J107" s="19">
        <v>31089</v>
      </c>
      <c r="K107" s="17">
        <f t="shared" si="1"/>
        <v>40</v>
      </c>
      <c r="L107" s="20">
        <v>0.79</v>
      </c>
      <c r="M107" s="17" t="str">
        <f>IFERROR(_xlfn.XLOOKUP(A107,'Master Position'!$B$2:$B$124,'Master Position'!$A$2:$A$124),"")</f>
        <v>Procurement</v>
      </c>
      <c r="N107" s="17" t="str">
        <f>IFERROR(_xlfn.XLOOKUP(A107,'Master Position'!$B$2:$B$124,'Master Position'!$C$2:$C$124),"")</f>
        <v>Supervisor</v>
      </c>
      <c r="O107" s="17" t="str">
        <f>IFERROR(_xlfn.XLOOKUP(N107,'Master Salary'!$B$2:$B$8,'Master Salary'!$A$2:$A$8),"")</f>
        <v>SP</v>
      </c>
      <c r="P107" s="21">
        <f>IFERROR(_xlfn.XLOOKUP(N107,'Master Salary'!$B$2:$B$8,'Master Salary'!$C$2:$C$8),"")</f>
        <v>7000000</v>
      </c>
      <c r="Q107" s="21">
        <f>IFERROR(IF(L107&gt;90%,P107*_xlfn.XLOOKUP(N107,'Master Bonus'!$A$3:$A$9,'Master Bonus'!$B$3:$B$9),0),"")</f>
        <v>0</v>
      </c>
    </row>
    <row r="108" spans="1:17" x14ac:dyDescent="0.3">
      <c r="A108" s="17" t="s">
        <v>287</v>
      </c>
      <c r="B108" s="17" t="s">
        <v>288</v>
      </c>
      <c r="C108" s="17" t="s">
        <v>14</v>
      </c>
      <c r="D108" s="17" t="s">
        <v>15</v>
      </c>
      <c r="E108" s="18">
        <v>42608</v>
      </c>
      <c r="F108" s="17" t="s">
        <v>23</v>
      </c>
      <c r="G108" s="17" t="s">
        <v>327</v>
      </c>
      <c r="H108" s="17" t="str">
        <f>IFERROR(_xlfn.XLOOKUP(G108,'Master Gender'!$B$2:$B$3,'Master Gender'!$A$2:$A$3),"")</f>
        <v>Perempuan</v>
      </c>
      <c r="I108" s="17" t="s">
        <v>14</v>
      </c>
      <c r="J108" s="19">
        <v>33984</v>
      </c>
      <c r="K108" s="17">
        <f t="shared" si="1"/>
        <v>32</v>
      </c>
      <c r="L108" s="20">
        <v>0.64</v>
      </c>
      <c r="M108" s="17" t="str">
        <f>IFERROR(_xlfn.XLOOKUP(A108,'Master Position'!$B$2:$B$124,'Master Position'!$A$2:$A$124),"")</f>
        <v>Human Resources</v>
      </c>
      <c r="N108" s="17" t="str">
        <f>IFERROR(_xlfn.XLOOKUP(A108,'Master Position'!$B$2:$B$124,'Master Position'!$C$2:$C$124),"")</f>
        <v>General Manager</v>
      </c>
      <c r="O108" s="17" t="str">
        <f>IFERROR(_xlfn.XLOOKUP(N108,'Master Salary'!$B$2:$B$8,'Master Salary'!$A$2:$A$8),"")</f>
        <v>GM</v>
      </c>
      <c r="P108" s="21">
        <f>IFERROR(_xlfn.XLOOKUP(N108,'Master Salary'!$B$2:$B$8,'Master Salary'!$C$2:$C$8),"")</f>
        <v>25000000</v>
      </c>
      <c r="Q108" s="21">
        <f>IFERROR(IF(L108&gt;90%,P108*_xlfn.XLOOKUP(N108,'Master Bonus'!$A$3:$A$9,'Master Bonus'!$B$3:$B$9),0),"")</f>
        <v>0</v>
      </c>
    </row>
    <row r="109" spans="1:17" x14ac:dyDescent="0.3">
      <c r="A109" s="17" t="s">
        <v>289</v>
      </c>
      <c r="B109" s="17" t="s">
        <v>290</v>
      </c>
      <c r="C109" s="17" t="s">
        <v>14</v>
      </c>
      <c r="D109" s="17" t="s">
        <v>27</v>
      </c>
      <c r="E109" s="18">
        <v>42475</v>
      </c>
      <c r="F109" s="17" t="s">
        <v>23</v>
      </c>
      <c r="G109" s="17" t="s">
        <v>327</v>
      </c>
      <c r="H109" s="17" t="str">
        <f>IFERROR(_xlfn.XLOOKUP(G109,'Master Gender'!$B$2:$B$3,'Master Gender'!$A$2:$A$3),"")</f>
        <v>Perempuan</v>
      </c>
      <c r="I109" s="17" t="s">
        <v>291</v>
      </c>
      <c r="J109" s="19">
        <v>32960</v>
      </c>
      <c r="K109" s="17">
        <f t="shared" si="1"/>
        <v>35</v>
      </c>
      <c r="L109" s="20">
        <v>0.85</v>
      </c>
      <c r="M109" s="17" t="str">
        <f>IFERROR(_xlfn.XLOOKUP(A109,'Master Position'!$B$2:$B$124,'Master Position'!$A$2:$A$124),"")</f>
        <v>Sales</v>
      </c>
      <c r="N109" s="17" t="str">
        <f>IFERROR(_xlfn.XLOOKUP(A109,'Master Position'!$B$2:$B$124,'Master Position'!$C$2:$C$124),"")</f>
        <v>Senior Manager</v>
      </c>
      <c r="O109" s="17" t="str">
        <f>IFERROR(_xlfn.XLOOKUP(N109,'Master Salary'!$B$2:$B$8,'Master Salary'!$A$2:$A$8),"")</f>
        <v>SM</v>
      </c>
      <c r="P109" s="21">
        <f>IFERROR(_xlfn.XLOOKUP(N109,'Master Salary'!$B$2:$B$8,'Master Salary'!$C$2:$C$8),"")</f>
        <v>18000000</v>
      </c>
      <c r="Q109" s="21">
        <f>IFERROR(IF(L109&gt;90%,P109*_xlfn.XLOOKUP(N109,'Master Bonus'!$A$3:$A$9,'Master Bonus'!$B$3:$B$9),0),"")</f>
        <v>0</v>
      </c>
    </row>
    <row r="110" spans="1:17" x14ac:dyDescent="0.3">
      <c r="A110" s="17" t="s">
        <v>292</v>
      </c>
      <c r="B110" s="17" t="s">
        <v>293</v>
      </c>
      <c r="C110" s="17" t="s">
        <v>14</v>
      </c>
      <c r="D110" s="17" t="s">
        <v>27</v>
      </c>
      <c r="E110" s="18">
        <v>44501</v>
      </c>
      <c r="F110" s="17" t="s">
        <v>294</v>
      </c>
      <c r="G110" s="17" t="s">
        <v>327</v>
      </c>
      <c r="H110" s="17" t="str">
        <f>IFERROR(_xlfn.XLOOKUP(G110,'Master Gender'!$B$2:$B$3,'Master Gender'!$A$2:$A$3),"")</f>
        <v>Perempuan</v>
      </c>
      <c r="I110" s="17" t="s">
        <v>254</v>
      </c>
      <c r="J110" s="19">
        <v>34646</v>
      </c>
      <c r="K110" s="17">
        <f t="shared" si="1"/>
        <v>31</v>
      </c>
      <c r="L110" s="20">
        <v>0.87</v>
      </c>
      <c r="M110" s="17" t="str">
        <f>IFERROR(_xlfn.XLOOKUP(A110,'Master Position'!$B$2:$B$124,'Master Position'!$A$2:$A$124),"")</f>
        <v>Data</v>
      </c>
      <c r="N110" s="17" t="str">
        <f>IFERROR(_xlfn.XLOOKUP(A110,'Master Position'!$B$2:$B$124,'Master Position'!$C$2:$C$124),"")</f>
        <v>Senior Manager</v>
      </c>
      <c r="O110" s="17" t="str">
        <f>IFERROR(_xlfn.XLOOKUP(N110,'Master Salary'!$B$2:$B$8,'Master Salary'!$A$2:$A$8),"")</f>
        <v>SM</v>
      </c>
      <c r="P110" s="21">
        <f>IFERROR(_xlfn.XLOOKUP(N110,'Master Salary'!$B$2:$B$8,'Master Salary'!$C$2:$C$8),"")</f>
        <v>18000000</v>
      </c>
      <c r="Q110" s="21">
        <f>IFERROR(IF(L110&gt;90%,P110*_xlfn.XLOOKUP(N110,'Master Bonus'!$A$3:$A$9,'Master Bonus'!$B$3:$B$9),0),"")</f>
        <v>0</v>
      </c>
    </row>
    <row r="111" spans="1:17" x14ac:dyDescent="0.3">
      <c r="A111" s="17" t="s">
        <v>295</v>
      </c>
      <c r="B111" s="17" t="s">
        <v>296</v>
      </c>
      <c r="C111" s="17" t="s">
        <v>14</v>
      </c>
      <c r="D111" s="17" t="s">
        <v>27</v>
      </c>
      <c r="E111" s="18">
        <v>40371</v>
      </c>
      <c r="F111" s="17" t="s">
        <v>23</v>
      </c>
      <c r="G111" s="17" t="s">
        <v>328</v>
      </c>
      <c r="H111" s="17" t="str">
        <f>IFERROR(_xlfn.XLOOKUP(G111,'Master Gender'!$B$2:$B$3,'Master Gender'!$A$2:$A$3),"")</f>
        <v>Laki-Laki</v>
      </c>
      <c r="I111" s="17" t="s">
        <v>124</v>
      </c>
      <c r="J111" s="19">
        <v>30064</v>
      </c>
      <c r="K111" s="17">
        <f t="shared" si="1"/>
        <v>43</v>
      </c>
      <c r="L111" s="20">
        <v>0.88</v>
      </c>
      <c r="M111" s="17" t="str">
        <f>IFERROR(_xlfn.XLOOKUP(A111,'Master Position'!$B$2:$B$124,'Master Position'!$A$2:$A$124),"")</f>
        <v>Account Manager</v>
      </c>
      <c r="N111" s="17" t="str">
        <f>IFERROR(_xlfn.XLOOKUP(A111,'Master Position'!$B$2:$B$124,'Master Position'!$C$2:$C$124),"")</f>
        <v>Senior Manager</v>
      </c>
      <c r="O111" s="17" t="str">
        <f>IFERROR(_xlfn.XLOOKUP(N111,'Master Salary'!$B$2:$B$8,'Master Salary'!$A$2:$A$8),"")</f>
        <v>SM</v>
      </c>
      <c r="P111" s="21">
        <f>IFERROR(_xlfn.XLOOKUP(N111,'Master Salary'!$B$2:$B$8,'Master Salary'!$C$2:$C$8),"")</f>
        <v>18000000</v>
      </c>
      <c r="Q111" s="21">
        <f>IFERROR(IF(L111&gt;90%,P111*_xlfn.XLOOKUP(N111,'Master Bonus'!$A$3:$A$9,'Master Bonus'!$B$3:$B$9),0),"")</f>
        <v>0</v>
      </c>
    </row>
    <row r="112" spans="1:17" x14ac:dyDescent="0.3">
      <c r="A112" s="17" t="s">
        <v>298</v>
      </c>
      <c r="B112" s="17" t="s">
        <v>299</v>
      </c>
      <c r="C112" s="17" t="s">
        <v>14</v>
      </c>
      <c r="D112" s="17" t="s">
        <v>27</v>
      </c>
      <c r="E112" s="18">
        <v>41750</v>
      </c>
      <c r="F112" s="17" t="s">
        <v>23</v>
      </c>
      <c r="G112" s="17" t="s">
        <v>327</v>
      </c>
      <c r="H112" s="17" t="str">
        <f>IFERROR(_xlfn.XLOOKUP(G112,'Master Gender'!$B$2:$B$3,'Master Gender'!$A$2:$A$3),"")</f>
        <v>Perempuan</v>
      </c>
      <c r="I112" s="17" t="s">
        <v>14</v>
      </c>
      <c r="J112" s="19">
        <v>33673</v>
      </c>
      <c r="K112" s="17">
        <f t="shared" si="1"/>
        <v>33</v>
      </c>
      <c r="L112" s="20">
        <v>0.8</v>
      </c>
      <c r="M112" s="17" t="str">
        <f>IFERROR(_xlfn.XLOOKUP(A112,'Master Position'!$B$2:$B$124,'Master Position'!$A$2:$A$124),"")</f>
        <v>Account Manager</v>
      </c>
      <c r="N112" s="17" t="str">
        <f>IFERROR(_xlfn.XLOOKUP(A112,'Master Position'!$B$2:$B$124,'Master Position'!$C$2:$C$124),"")</f>
        <v>Senior Manager</v>
      </c>
      <c r="O112" s="17" t="str">
        <f>IFERROR(_xlfn.XLOOKUP(N112,'Master Salary'!$B$2:$B$8,'Master Salary'!$A$2:$A$8),"")</f>
        <v>SM</v>
      </c>
      <c r="P112" s="21">
        <f>IFERROR(_xlfn.XLOOKUP(N112,'Master Salary'!$B$2:$B$8,'Master Salary'!$C$2:$C$8),"")</f>
        <v>18000000</v>
      </c>
      <c r="Q112" s="21">
        <f>IFERROR(IF(L112&gt;90%,P112*_xlfn.XLOOKUP(N112,'Master Bonus'!$A$3:$A$9,'Master Bonus'!$B$3:$B$9),0),"")</f>
        <v>0</v>
      </c>
    </row>
    <row r="113" spans="1:17" x14ac:dyDescent="0.3">
      <c r="A113" s="17" t="s">
        <v>300</v>
      </c>
      <c r="B113" s="17" t="s">
        <v>301</v>
      </c>
      <c r="C113" s="17" t="s">
        <v>14</v>
      </c>
      <c r="D113" s="17" t="s">
        <v>27</v>
      </c>
      <c r="E113" s="18">
        <v>42248</v>
      </c>
      <c r="F113" s="17" t="s">
        <v>294</v>
      </c>
      <c r="G113" s="17" t="s">
        <v>327</v>
      </c>
      <c r="H113" s="17" t="str">
        <f>IFERROR(_xlfn.XLOOKUP(G113,'Master Gender'!$B$2:$B$3,'Master Gender'!$A$2:$A$3),"")</f>
        <v>Perempuan</v>
      </c>
      <c r="I113" s="17" t="s">
        <v>302</v>
      </c>
      <c r="J113" s="19">
        <v>26994</v>
      </c>
      <c r="K113" s="17">
        <f t="shared" si="1"/>
        <v>52</v>
      </c>
      <c r="L113" s="20">
        <v>0.84</v>
      </c>
      <c r="M113" s="17" t="str">
        <f>IFERROR(_xlfn.XLOOKUP(A113,'Master Position'!$B$2:$B$124,'Master Position'!$A$2:$A$124),"")</f>
        <v>Account Manager</v>
      </c>
      <c r="N113" s="17" t="str">
        <f>IFERROR(_xlfn.XLOOKUP(A113,'Master Position'!$B$2:$B$124,'Master Position'!$C$2:$C$124),"")</f>
        <v>Supervisor</v>
      </c>
      <c r="O113" s="17" t="str">
        <f>IFERROR(_xlfn.XLOOKUP(N113,'Master Salary'!$B$2:$B$8,'Master Salary'!$A$2:$A$8),"")</f>
        <v>SP</v>
      </c>
      <c r="P113" s="21">
        <f>IFERROR(_xlfn.XLOOKUP(N113,'Master Salary'!$B$2:$B$8,'Master Salary'!$C$2:$C$8),"")</f>
        <v>7000000</v>
      </c>
      <c r="Q113" s="21">
        <f>IFERROR(IF(L113&gt;90%,P113*_xlfn.XLOOKUP(N113,'Master Bonus'!$A$3:$A$9,'Master Bonus'!$B$3:$B$9),0),"")</f>
        <v>0</v>
      </c>
    </row>
    <row r="114" spans="1:17" x14ac:dyDescent="0.3">
      <c r="A114" s="17" t="s">
        <v>303</v>
      </c>
      <c r="B114" s="17" t="s">
        <v>304</v>
      </c>
      <c r="C114" s="17" t="s">
        <v>14</v>
      </c>
      <c r="D114" s="17" t="s">
        <v>27</v>
      </c>
      <c r="E114" s="18">
        <v>43332</v>
      </c>
      <c r="F114" s="17" t="s">
        <v>23</v>
      </c>
      <c r="G114" s="17" t="s">
        <v>327</v>
      </c>
      <c r="H114" s="17" t="str">
        <f>IFERROR(_xlfn.XLOOKUP(G114,'Master Gender'!$B$2:$B$3,'Master Gender'!$A$2:$A$3),"")</f>
        <v>Perempuan</v>
      </c>
      <c r="I114" s="17" t="s">
        <v>14</v>
      </c>
      <c r="J114" s="19">
        <v>34670</v>
      </c>
      <c r="K114" s="17">
        <f t="shared" si="1"/>
        <v>31</v>
      </c>
      <c r="L114" s="20">
        <v>0.97</v>
      </c>
      <c r="M114" s="17" t="str">
        <f>IFERROR(_xlfn.XLOOKUP(A114,'Master Position'!$B$2:$B$124,'Master Position'!$A$2:$A$124),"")</f>
        <v>Account Manager</v>
      </c>
      <c r="N114" s="17" t="str">
        <f>IFERROR(_xlfn.XLOOKUP(A114,'Master Position'!$B$2:$B$124,'Master Position'!$C$2:$C$124),"")</f>
        <v>Supervisor</v>
      </c>
      <c r="O114" s="17" t="str">
        <f>IFERROR(_xlfn.XLOOKUP(N114,'Master Salary'!$B$2:$B$8,'Master Salary'!$A$2:$A$8),"")</f>
        <v>SP</v>
      </c>
      <c r="P114" s="21">
        <f>IFERROR(_xlfn.XLOOKUP(N114,'Master Salary'!$B$2:$B$8,'Master Salary'!$C$2:$C$8),"")</f>
        <v>7000000</v>
      </c>
      <c r="Q114" s="21">
        <f>IFERROR(IF(L114&gt;90%,P114*_xlfn.XLOOKUP(N114,'Master Bonus'!$A$3:$A$9,'Master Bonus'!$B$3:$B$9),0),"")</f>
        <v>7000000</v>
      </c>
    </row>
    <row r="115" spans="1:17" x14ac:dyDescent="0.3">
      <c r="A115" s="17" t="s">
        <v>305</v>
      </c>
      <c r="B115" s="17" t="s">
        <v>306</v>
      </c>
      <c r="C115" s="17" t="s">
        <v>274</v>
      </c>
      <c r="D115" s="17" t="s">
        <v>27</v>
      </c>
      <c r="E115" s="18">
        <v>42961</v>
      </c>
      <c r="F115" s="17" t="s">
        <v>23</v>
      </c>
      <c r="G115" s="17" t="s">
        <v>327</v>
      </c>
      <c r="H115" s="17" t="str">
        <f>IFERROR(_xlfn.XLOOKUP(G115,'Master Gender'!$B$2:$B$3,'Master Gender'!$A$2:$A$3),"")</f>
        <v>Perempuan</v>
      </c>
      <c r="I115" s="17" t="s">
        <v>133</v>
      </c>
      <c r="J115" s="19">
        <v>33123</v>
      </c>
      <c r="K115" s="17">
        <f t="shared" si="1"/>
        <v>35</v>
      </c>
      <c r="L115" s="20">
        <v>0.78</v>
      </c>
      <c r="M115" s="17" t="str">
        <f>IFERROR(_xlfn.XLOOKUP(A115,'Master Position'!$B$2:$B$124,'Master Position'!$A$2:$A$124),"")</f>
        <v>Account Manager</v>
      </c>
      <c r="N115" s="17" t="str">
        <f>IFERROR(_xlfn.XLOOKUP(A115,'Master Position'!$B$2:$B$124,'Master Position'!$C$2:$C$124),"")</f>
        <v>Supervisor</v>
      </c>
      <c r="O115" s="17" t="str">
        <f>IFERROR(_xlfn.XLOOKUP(N115,'Master Salary'!$B$2:$B$8,'Master Salary'!$A$2:$A$8),"")</f>
        <v>SP</v>
      </c>
      <c r="P115" s="21">
        <f>IFERROR(_xlfn.XLOOKUP(N115,'Master Salary'!$B$2:$B$8,'Master Salary'!$C$2:$C$8),"")</f>
        <v>7000000</v>
      </c>
      <c r="Q115" s="21">
        <f>IFERROR(IF(L115&gt;90%,P115*_xlfn.XLOOKUP(N115,'Master Bonus'!$A$3:$A$9,'Master Bonus'!$B$3:$B$9),0),"")</f>
        <v>0</v>
      </c>
    </row>
    <row r="116" spans="1:17" x14ac:dyDescent="0.3">
      <c r="A116" s="17" t="s">
        <v>307</v>
      </c>
      <c r="B116" s="17" t="s">
        <v>308</v>
      </c>
      <c r="C116" s="17" t="s">
        <v>14</v>
      </c>
      <c r="D116" s="17" t="s">
        <v>15</v>
      </c>
      <c r="E116" s="18">
        <v>43808</v>
      </c>
      <c r="F116" s="17" t="s">
        <v>23</v>
      </c>
      <c r="G116" s="17" t="s">
        <v>328</v>
      </c>
      <c r="H116" s="17" t="str">
        <f>IFERROR(_xlfn.XLOOKUP(G116,'Master Gender'!$B$2:$B$3,'Master Gender'!$A$2:$A$3),"")</f>
        <v>Laki-Laki</v>
      </c>
      <c r="I116" s="17" t="s">
        <v>14</v>
      </c>
      <c r="J116" s="19">
        <v>32486</v>
      </c>
      <c r="K116" s="17">
        <f t="shared" si="1"/>
        <v>37</v>
      </c>
      <c r="L116" s="20">
        <v>0.87</v>
      </c>
      <c r="M116" s="17" t="str">
        <f>IFERROR(_xlfn.XLOOKUP(A116,'Master Position'!$B$2:$B$124,'Master Position'!$A$2:$A$124),"")</f>
        <v>Account Manager</v>
      </c>
      <c r="N116" s="17" t="str">
        <f>IFERROR(_xlfn.XLOOKUP(A116,'Master Position'!$B$2:$B$124,'Master Position'!$C$2:$C$124),"")</f>
        <v>General Manager</v>
      </c>
      <c r="O116" s="17" t="str">
        <f>IFERROR(_xlfn.XLOOKUP(N116,'Master Salary'!$B$2:$B$8,'Master Salary'!$A$2:$A$8),"")</f>
        <v>GM</v>
      </c>
      <c r="P116" s="21">
        <f>IFERROR(_xlfn.XLOOKUP(N116,'Master Salary'!$B$2:$B$8,'Master Salary'!$C$2:$C$8),"")</f>
        <v>25000000</v>
      </c>
      <c r="Q116" s="21">
        <f>IFERROR(IF(L116&gt;90%,P116*_xlfn.XLOOKUP(N116,'Master Bonus'!$A$3:$A$9,'Master Bonus'!$B$3:$B$9),0),"")</f>
        <v>0</v>
      </c>
    </row>
    <row r="117" spans="1:17" x14ac:dyDescent="0.3">
      <c r="A117" s="17" t="s">
        <v>309</v>
      </c>
      <c r="B117" s="17" t="s">
        <v>310</v>
      </c>
      <c r="C117" s="17" t="s">
        <v>63</v>
      </c>
      <c r="D117" s="17" t="s">
        <v>27</v>
      </c>
      <c r="E117" s="18">
        <v>39449</v>
      </c>
      <c r="F117" s="17" t="s">
        <v>23</v>
      </c>
      <c r="G117" s="17" t="s">
        <v>328</v>
      </c>
      <c r="H117" s="17" t="str">
        <f>IFERROR(_xlfn.XLOOKUP(G117,'Master Gender'!$B$2:$B$3,'Master Gender'!$A$2:$A$3),"")</f>
        <v>Laki-Laki</v>
      </c>
      <c r="I117" s="17" t="s">
        <v>63</v>
      </c>
      <c r="J117" s="19">
        <v>30252</v>
      </c>
      <c r="K117" s="17">
        <f t="shared" si="1"/>
        <v>43</v>
      </c>
      <c r="L117" s="20">
        <v>0.79</v>
      </c>
      <c r="M117" s="17" t="str">
        <f>IFERROR(_xlfn.XLOOKUP(A117,'Master Position'!$B$2:$B$124,'Master Position'!$A$2:$A$124),"")</f>
        <v>Account Manager</v>
      </c>
      <c r="N117" s="17" t="str">
        <f>IFERROR(_xlfn.XLOOKUP(A117,'Master Position'!$B$2:$B$124,'Master Position'!$C$2:$C$124),"")</f>
        <v>Senior Staff</v>
      </c>
      <c r="O117" s="17" t="str">
        <f>IFERROR(_xlfn.XLOOKUP(N117,'Master Salary'!$B$2:$B$8,'Master Salary'!$A$2:$A$8),"")</f>
        <v>SS</v>
      </c>
      <c r="P117" s="21">
        <f>IFERROR(_xlfn.XLOOKUP(N117,'Master Salary'!$B$2:$B$8,'Master Salary'!$C$2:$C$8),"")</f>
        <v>5000000</v>
      </c>
      <c r="Q117" s="21">
        <f>IFERROR(IF(L117&gt;90%,P117*_xlfn.XLOOKUP(N117,'Master Bonus'!$A$3:$A$9,'Master Bonus'!$B$3:$B$9),0),"")</f>
        <v>0</v>
      </c>
    </row>
    <row r="118" spans="1:17" x14ac:dyDescent="0.3">
      <c r="A118" s="17" t="s">
        <v>311</v>
      </c>
      <c r="B118" s="17" t="s">
        <v>312</v>
      </c>
      <c r="C118" s="17" t="s">
        <v>274</v>
      </c>
      <c r="D118" s="17" t="s">
        <v>27</v>
      </c>
      <c r="E118" s="18">
        <v>44459</v>
      </c>
      <c r="F118" s="17" t="s">
        <v>23</v>
      </c>
      <c r="G118" s="17" t="s">
        <v>327</v>
      </c>
      <c r="H118" s="17" t="str">
        <f>IFERROR(_xlfn.XLOOKUP(G118,'Master Gender'!$B$2:$B$3,'Master Gender'!$A$2:$A$3),"")</f>
        <v>Perempuan</v>
      </c>
      <c r="I118" s="17" t="s">
        <v>274</v>
      </c>
      <c r="J118" s="19">
        <v>34243</v>
      </c>
      <c r="K118" s="17">
        <f t="shared" si="1"/>
        <v>32</v>
      </c>
      <c r="L118" s="20">
        <v>0.6</v>
      </c>
      <c r="M118" s="17" t="str">
        <f>IFERROR(_xlfn.XLOOKUP(A118,'Master Position'!$B$2:$B$124,'Master Position'!$A$2:$A$124),"")</f>
        <v>Account Manager</v>
      </c>
      <c r="N118" s="17" t="str">
        <f>IFERROR(_xlfn.XLOOKUP(A118,'Master Position'!$B$2:$B$124,'Master Position'!$C$2:$C$124),"")</f>
        <v>Supervisor</v>
      </c>
      <c r="O118" s="17" t="str">
        <f>IFERROR(_xlfn.XLOOKUP(N118,'Master Salary'!$B$2:$B$8,'Master Salary'!$A$2:$A$8),"")</f>
        <v>SP</v>
      </c>
      <c r="P118" s="21">
        <f>IFERROR(_xlfn.XLOOKUP(N118,'Master Salary'!$B$2:$B$8,'Master Salary'!$C$2:$C$8),"")</f>
        <v>7000000</v>
      </c>
      <c r="Q118" s="21">
        <f>IFERROR(IF(L118&gt;90%,P118*_xlfn.XLOOKUP(N118,'Master Bonus'!$A$3:$A$9,'Master Bonus'!$B$3:$B$9),0),"")</f>
        <v>0</v>
      </c>
    </row>
    <row r="119" spans="1:17" x14ac:dyDescent="0.3">
      <c r="A119" s="17" t="s">
        <v>313</v>
      </c>
      <c r="B119" s="17" t="s">
        <v>314</v>
      </c>
      <c r="C119" s="17" t="s">
        <v>14</v>
      </c>
      <c r="D119" s="17" t="s">
        <v>27</v>
      </c>
      <c r="E119" s="18">
        <v>43313</v>
      </c>
      <c r="F119" s="17" t="s">
        <v>23</v>
      </c>
      <c r="G119" s="17" t="s">
        <v>327</v>
      </c>
      <c r="H119" s="17" t="str">
        <f>IFERROR(_xlfn.XLOOKUP(G119,'Master Gender'!$B$2:$B$3,'Master Gender'!$A$2:$A$3),"")</f>
        <v>Perempuan</v>
      </c>
      <c r="I119" s="17" t="s">
        <v>315</v>
      </c>
      <c r="J119" s="19">
        <v>31799</v>
      </c>
      <c r="K119" s="17">
        <f t="shared" si="1"/>
        <v>38</v>
      </c>
      <c r="L119" s="20">
        <v>0.74</v>
      </c>
      <c r="M119" s="17" t="str">
        <f>IFERROR(_xlfn.XLOOKUP(A119,'Master Position'!$B$2:$B$124,'Master Position'!$A$2:$A$124),"")</f>
        <v>Account Manager</v>
      </c>
      <c r="N119" s="17" t="str">
        <f>IFERROR(_xlfn.XLOOKUP(A119,'Master Position'!$B$2:$B$124,'Master Position'!$C$2:$C$124),"")</f>
        <v>Senior Staff</v>
      </c>
      <c r="O119" s="17" t="str">
        <f>IFERROR(_xlfn.XLOOKUP(N119,'Master Salary'!$B$2:$B$8,'Master Salary'!$A$2:$A$8),"")</f>
        <v>SS</v>
      </c>
      <c r="P119" s="21">
        <f>IFERROR(_xlfn.XLOOKUP(N119,'Master Salary'!$B$2:$B$8,'Master Salary'!$C$2:$C$8),"")</f>
        <v>5000000</v>
      </c>
      <c r="Q119" s="21">
        <f>IFERROR(IF(L119&gt;90%,P119*_xlfn.XLOOKUP(N119,'Master Bonus'!$A$3:$A$9,'Master Bonus'!$B$3:$B$9),0),"")</f>
        <v>0</v>
      </c>
    </row>
    <row r="120" spans="1:17" x14ac:dyDescent="0.3">
      <c r="A120" s="17" t="s">
        <v>316</v>
      </c>
      <c r="B120" s="17" t="s">
        <v>317</v>
      </c>
      <c r="C120" s="17" t="s">
        <v>14</v>
      </c>
      <c r="D120" s="17" t="s">
        <v>27</v>
      </c>
      <c r="E120" s="18">
        <v>43313</v>
      </c>
      <c r="F120" s="17" t="s">
        <v>23</v>
      </c>
      <c r="G120" s="17" t="s">
        <v>327</v>
      </c>
      <c r="H120" s="17" t="str">
        <f>IFERROR(_xlfn.XLOOKUP(G120,'Master Gender'!$B$2:$B$3,'Master Gender'!$A$2:$A$3),"")</f>
        <v>Perempuan</v>
      </c>
      <c r="I120" s="17" t="s">
        <v>315</v>
      </c>
      <c r="J120" s="19">
        <v>31799</v>
      </c>
      <c r="K120" s="17">
        <f t="shared" si="1"/>
        <v>38</v>
      </c>
      <c r="L120" s="20">
        <v>0.88</v>
      </c>
      <c r="M120" s="17" t="str">
        <f>IFERROR(_xlfn.XLOOKUP(A120,'Master Position'!$B$2:$B$124,'Master Position'!$A$2:$A$124),"")</f>
        <v>Account Manager</v>
      </c>
      <c r="N120" s="17" t="str">
        <f>IFERROR(_xlfn.XLOOKUP(A120,'Master Position'!$B$2:$B$124,'Master Position'!$C$2:$C$124),"")</f>
        <v>Staff</v>
      </c>
      <c r="O120" s="17" t="str">
        <f>IFERROR(_xlfn.XLOOKUP(N120,'Master Salary'!$B$2:$B$8,'Master Salary'!$A$2:$A$8),"")</f>
        <v>ST</v>
      </c>
      <c r="P120" s="21">
        <f>IFERROR(_xlfn.XLOOKUP(N120,'Master Salary'!$B$2:$B$8,'Master Salary'!$C$2:$C$8),"")</f>
        <v>4000000</v>
      </c>
      <c r="Q120" s="21">
        <f>IFERROR(IF(L120&gt;90%,P120*_xlfn.XLOOKUP(N120,'Master Bonus'!$A$3:$A$9,'Master Bonus'!$B$3:$B$9),0),"")</f>
        <v>0</v>
      </c>
    </row>
    <row r="121" spans="1:17" x14ac:dyDescent="0.3">
      <c r="A121" s="17" t="s">
        <v>318</v>
      </c>
      <c r="B121" s="17" t="s">
        <v>319</v>
      </c>
      <c r="C121" s="17" t="s">
        <v>14</v>
      </c>
      <c r="D121" s="17" t="s">
        <v>15</v>
      </c>
      <c r="E121" s="18">
        <v>44916</v>
      </c>
      <c r="F121" s="17" t="s">
        <v>23</v>
      </c>
      <c r="G121" s="17" t="s">
        <v>327</v>
      </c>
      <c r="H121" s="17" t="str">
        <f>IFERROR(_xlfn.XLOOKUP(G121,'Master Gender'!$B$2:$B$3,'Master Gender'!$A$2:$A$3),"")</f>
        <v>Perempuan</v>
      </c>
      <c r="I121" s="17" t="s">
        <v>29</v>
      </c>
      <c r="J121" s="19">
        <v>36693</v>
      </c>
      <c r="K121" s="17">
        <f t="shared" si="1"/>
        <v>25</v>
      </c>
      <c r="L121" s="20">
        <v>0.66</v>
      </c>
      <c r="M121" s="17" t="str">
        <f>IFERROR(_xlfn.XLOOKUP(A121,'Master Position'!$B$2:$B$124,'Master Position'!$A$2:$A$124),"")</f>
        <v>Account Manager</v>
      </c>
      <c r="N121" s="17" t="str">
        <f>IFERROR(_xlfn.XLOOKUP(A121,'Master Position'!$B$2:$B$124,'Master Position'!$C$2:$C$124),"")</f>
        <v>Senior Staff</v>
      </c>
      <c r="O121" s="17" t="str">
        <f>IFERROR(_xlfn.XLOOKUP(N121,'Master Salary'!$B$2:$B$8,'Master Salary'!$A$2:$A$8),"")</f>
        <v>SS</v>
      </c>
      <c r="P121" s="21">
        <f>IFERROR(_xlfn.XLOOKUP(N121,'Master Salary'!$B$2:$B$8,'Master Salary'!$C$2:$C$8),"")</f>
        <v>5000000</v>
      </c>
      <c r="Q121" s="21">
        <f>IFERROR(IF(L121&gt;90%,P121*_xlfn.XLOOKUP(N121,'Master Bonus'!$A$3:$A$9,'Master Bonus'!$B$3:$B$9),0),"")</f>
        <v>0</v>
      </c>
    </row>
    <row r="122" spans="1:17" x14ac:dyDescent="0.3">
      <c r="A122" s="17" t="s">
        <v>320</v>
      </c>
      <c r="B122" s="17" t="s">
        <v>321</v>
      </c>
      <c r="C122" s="17" t="s">
        <v>14</v>
      </c>
      <c r="D122" s="17" t="s">
        <v>15</v>
      </c>
      <c r="E122" s="18">
        <v>43759</v>
      </c>
      <c r="F122" s="17" t="s">
        <v>23</v>
      </c>
      <c r="G122" s="17" t="s">
        <v>327</v>
      </c>
      <c r="H122" s="17" t="str">
        <f>IFERROR(_xlfn.XLOOKUP(G122,'Master Gender'!$B$2:$B$3,'Master Gender'!$A$2:$A$3),"")</f>
        <v>Perempuan</v>
      </c>
      <c r="I122" s="17" t="s">
        <v>14</v>
      </c>
      <c r="J122" s="19">
        <v>35265</v>
      </c>
      <c r="K122" s="17">
        <f t="shared" si="1"/>
        <v>29</v>
      </c>
      <c r="L122" s="20">
        <v>0.87</v>
      </c>
      <c r="M122" s="17" t="str">
        <f>IFERROR(_xlfn.XLOOKUP(A122,'Master Position'!$B$2:$B$124,'Master Position'!$A$2:$A$124),"")</f>
        <v>Account Manager</v>
      </c>
      <c r="N122" s="17" t="str">
        <f>IFERROR(_xlfn.XLOOKUP(A122,'Master Position'!$B$2:$B$124,'Master Position'!$C$2:$C$124),"")</f>
        <v>Senior Staff</v>
      </c>
      <c r="O122" s="17" t="str">
        <f>IFERROR(_xlfn.XLOOKUP(N122,'Master Salary'!$B$2:$B$8,'Master Salary'!$A$2:$A$8),"")</f>
        <v>SS</v>
      </c>
      <c r="P122" s="21">
        <f>IFERROR(_xlfn.XLOOKUP(N122,'Master Salary'!$B$2:$B$8,'Master Salary'!$C$2:$C$8),"")</f>
        <v>5000000</v>
      </c>
      <c r="Q122" s="21">
        <f>IFERROR(IF(L122&gt;90%,P122*_xlfn.XLOOKUP(N122,'Master Bonus'!$A$3:$A$9,'Master Bonus'!$B$3:$B$9),0),"")</f>
        <v>0</v>
      </c>
    </row>
    <row r="123" spans="1:17" x14ac:dyDescent="0.3">
      <c r="A123" s="17" t="s">
        <v>322</v>
      </c>
      <c r="B123" s="17" t="s">
        <v>323</v>
      </c>
      <c r="C123" s="17" t="s">
        <v>14</v>
      </c>
      <c r="D123" s="17" t="s">
        <v>15</v>
      </c>
      <c r="E123" s="18">
        <v>42583</v>
      </c>
      <c r="F123" s="17" t="s">
        <v>23</v>
      </c>
      <c r="G123" s="17" t="s">
        <v>327</v>
      </c>
      <c r="H123" s="17" t="str">
        <f>IFERROR(_xlfn.XLOOKUP(G123,'Master Gender'!$B$2:$B$3,'Master Gender'!$A$2:$A$3),"")</f>
        <v>Perempuan</v>
      </c>
      <c r="I123" s="17" t="s">
        <v>14</v>
      </c>
      <c r="J123" s="19">
        <v>34675</v>
      </c>
      <c r="K123" s="17">
        <f t="shared" si="1"/>
        <v>31</v>
      </c>
      <c r="L123" s="20">
        <v>0.82</v>
      </c>
      <c r="M123" s="17" t="str">
        <f>IFERROR(_xlfn.XLOOKUP(A123,'Master Position'!$B$2:$B$124,'Master Position'!$A$2:$A$124),"")</f>
        <v>Account Manager</v>
      </c>
      <c r="N123" s="17" t="str">
        <f>IFERROR(_xlfn.XLOOKUP(A123,'Master Position'!$B$2:$B$124,'Master Position'!$C$2:$C$124),"")</f>
        <v>Staff</v>
      </c>
      <c r="O123" s="17" t="str">
        <f>IFERROR(_xlfn.XLOOKUP(N123,'Master Salary'!$B$2:$B$8,'Master Salary'!$A$2:$A$8),"")</f>
        <v>ST</v>
      </c>
      <c r="P123" s="21">
        <f>IFERROR(_xlfn.XLOOKUP(N123,'Master Salary'!$B$2:$B$8,'Master Salary'!$C$2:$C$8),"")</f>
        <v>4000000</v>
      </c>
      <c r="Q123" s="21">
        <f>IFERROR(IF(L123&gt;90%,P123*_xlfn.XLOOKUP(N123,'Master Bonus'!$A$3:$A$9,'Master Bonus'!$B$3:$B$9),0),"")</f>
        <v>0</v>
      </c>
    </row>
    <row r="124" spans="1:17" x14ac:dyDescent="0.3">
      <c r="A124" s="17" t="s">
        <v>324</v>
      </c>
      <c r="B124" s="17" t="s">
        <v>325</v>
      </c>
      <c r="C124" s="17" t="s">
        <v>14</v>
      </c>
      <c r="D124" s="17" t="s">
        <v>15</v>
      </c>
      <c r="E124" s="18">
        <v>42926</v>
      </c>
      <c r="F124" s="17" t="s">
        <v>23</v>
      </c>
      <c r="G124" s="17" t="s">
        <v>327</v>
      </c>
      <c r="H124" s="17" t="str">
        <f>IFERROR(_xlfn.XLOOKUP(G124,'Master Gender'!$B$2:$B$3,'Master Gender'!$A$2:$A$3),"")</f>
        <v>Perempuan</v>
      </c>
      <c r="I124" s="17" t="s">
        <v>14</v>
      </c>
      <c r="J124" s="19">
        <v>31467</v>
      </c>
      <c r="K124" s="17">
        <f t="shared" si="1"/>
        <v>39</v>
      </c>
      <c r="L124" s="20">
        <v>0.61</v>
      </c>
      <c r="M124" s="17" t="str">
        <f>IFERROR(_xlfn.XLOOKUP(A124,'Master Position'!$B$2:$B$124,'Master Position'!$A$2:$A$124),"")</f>
        <v>Account Manager</v>
      </c>
      <c r="N124" s="17" t="str">
        <f>IFERROR(_xlfn.XLOOKUP(A124,'Master Position'!$B$2:$B$124,'Master Position'!$C$2:$C$124),"")</f>
        <v>Staff</v>
      </c>
      <c r="O124" s="17" t="str">
        <f>IFERROR(_xlfn.XLOOKUP(N124,'Master Salary'!$B$2:$B$8,'Master Salary'!$A$2:$A$8),"")</f>
        <v>ST</v>
      </c>
      <c r="P124" s="21">
        <f>IFERROR(_xlfn.XLOOKUP(N124,'Master Salary'!$B$2:$B$8,'Master Salary'!$C$2:$C$8),"")</f>
        <v>4000000</v>
      </c>
      <c r="Q124" s="21">
        <f>IFERROR(IF(L124&gt;90%,P124*_xlfn.XLOOKUP(N124,'Master Bonus'!$A$3:$A$9,'Master Bonus'!$B$3:$B$9),0),"")</f>
        <v>0</v>
      </c>
    </row>
    <row r="125" spans="1:17" x14ac:dyDescent="0.3">
      <c r="A125"/>
      <c r="B125"/>
      <c r="C125"/>
      <c r="D125"/>
      <c r="E125"/>
      <c r="F125"/>
      <c r="G125"/>
      <c r="H125"/>
      <c r="I125"/>
      <c r="J125"/>
      <c r="K125"/>
      <c r="L125"/>
    </row>
    <row r="126" spans="1:17" x14ac:dyDescent="0.3">
      <c r="A126"/>
      <c r="B126"/>
      <c r="C126"/>
      <c r="D126"/>
      <c r="E126"/>
      <c r="F126"/>
      <c r="G126"/>
      <c r="H126"/>
      <c r="I126"/>
      <c r="J126"/>
      <c r="K126"/>
      <c r="L126"/>
    </row>
    <row r="127" spans="1:17" x14ac:dyDescent="0.3">
      <c r="A127"/>
      <c r="B127"/>
      <c r="C127"/>
      <c r="D127"/>
      <c r="E127"/>
      <c r="F127"/>
      <c r="G127"/>
      <c r="H127"/>
      <c r="I127"/>
      <c r="J127"/>
      <c r="K127"/>
      <c r="L127"/>
    </row>
    <row r="128" spans="1:17" x14ac:dyDescent="0.3">
      <c r="A128"/>
      <c r="B128"/>
      <c r="C128"/>
      <c r="D128"/>
      <c r="E128"/>
      <c r="F128"/>
      <c r="G128"/>
      <c r="H128"/>
      <c r="I128"/>
      <c r="J128"/>
      <c r="K128"/>
      <c r="L128"/>
    </row>
    <row r="129" spans="1:12" x14ac:dyDescent="0.3">
      <c r="A129"/>
      <c r="B129"/>
      <c r="C129"/>
      <c r="D129"/>
      <c r="E129"/>
      <c r="F129"/>
      <c r="G129"/>
      <c r="H129"/>
      <c r="I129"/>
      <c r="J129"/>
      <c r="K129"/>
      <c r="L129"/>
    </row>
    <row r="130" spans="1:12" x14ac:dyDescent="0.3">
      <c r="A130"/>
      <c r="B130"/>
      <c r="C130"/>
      <c r="D130"/>
      <c r="E130"/>
      <c r="F130"/>
      <c r="G130"/>
      <c r="H130"/>
      <c r="I130"/>
      <c r="J130"/>
      <c r="K130"/>
      <c r="L130"/>
    </row>
    <row r="131" spans="1:12" x14ac:dyDescent="0.3">
      <c r="A131"/>
      <c r="B131"/>
      <c r="C131"/>
      <c r="D131"/>
      <c r="E131"/>
      <c r="F131"/>
      <c r="G131"/>
      <c r="H131"/>
      <c r="I131"/>
      <c r="J131"/>
      <c r="K131"/>
      <c r="L131"/>
    </row>
    <row r="132" spans="1:12" x14ac:dyDescent="0.3">
      <c r="A132"/>
      <c r="B132"/>
      <c r="C132"/>
      <c r="D132"/>
      <c r="E132"/>
      <c r="F132"/>
      <c r="G132"/>
      <c r="H132"/>
      <c r="I132"/>
      <c r="J132"/>
      <c r="K132"/>
      <c r="L132"/>
    </row>
    <row r="133" spans="1:12" x14ac:dyDescent="0.3">
      <c r="A133"/>
      <c r="B133"/>
      <c r="C133"/>
      <c r="D133"/>
      <c r="E133"/>
      <c r="F133"/>
      <c r="G133"/>
      <c r="H133"/>
      <c r="I133"/>
      <c r="J133"/>
      <c r="K133"/>
      <c r="L133"/>
    </row>
    <row r="134" spans="1:12" x14ac:dyDescent="0.3">
      <c r="A134"/>
      <c r="B134"/>
      <c r="C134"/>
      <c r="D134"/>
      <c r="E134"/>
      <c r="F134"/>
      <c r="G134"/>
      <c r="H134"/>
      <c r="I134"/>
      <c r="J134"/>
      <c r="K134"/>
      <c r="L134"/>
    </row>
    <row r="135" spans="1:12" x14ac:dyDescent="0.3">
      <c r="A135"/>
      <c r="B135"/>
      <c r="C135"/>
      <c r="D135"/>
      <c r="E135"/>
      <c r="F135"/>
      <c r="G135"/>
      <c r="H135"/>
      <c r="I135"/>
      <c r="J135"/>
      <c r="K135"/>
      <c r="L135"/>
    </row>
    <row r="136" spans="1:12" x14ac:dyDescent="0.3">
      <c r="A136"/>
      <c r="B136"/>
      <c r="C136"/>
      <c r="D136"/>
      <c r="E136"/>
      <c r="F136"/>
      <c r="G136"/>
      <c r="H136"/>
      <c r="I136"/>
      <c r="J136"/>
      <c r="K136"/>
      <c r="L136"/>
    </row>
  </sheetData>
  <sheetProtection sheet="1" objects="1" scenarios="1" autoFilter="0" pivotTables="0"/>
  <dataConsolidate/>
  <conditionalFormatting sqref="A2:A116">
    <cfRule type="duplicateValues" dxfId="796" priority="20"/>
  </conditionalFormatting>
  <conditionalFormatting sqref="A2:A124">
    <cfRule type="duplicateValues" dxfId="795" priority="2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BD0B3-94BC-4681-911D-C4DE1E755453}">
  <sheetPr codeName="Sheet5">
    <tabColor theme="4" tint="0.39997558519241921"/>
  </sheetPr>
  <dimension ref="A1:C138"/>
  <sheetViews>
    <sheetView workbookViewId="0">
      <pane ySplit="1" topLeftCell="A2" activePane="bottomLeft" state="frozen"/>
      <selection pane="bottomLeft"/>
    </sheetView>
  </sheetViews>
  <sheetFormatPr defaultRowHeight="14.4" x14ac:dyDescent="0.3"/>
  <cols>
    <col min="1" max="1" width="15.6640625" style="4" bestFit="1" customWidth="1"/>
    <col min="2" max="2" width="6.33203125" style="4" bestFit="1" customWidth="1"/>
    <col min="3" max="3" width="15.109375" style="4" bestFit="1" customWidth="1"/>
  </cols>
  <sheetData>
    <row r="1" spans="1:3" x14ac:dyDescent="0.3">
      <c r="A1" s="16" t="s">
        <v>7</v>
      </c>
      <c r="B1" s="16" t="s">
        <v>2</v>
      </c>
      <c r="C1" s="16" t="s">
        <v>6</v>
      </c>
    </row>
    <row r="2" spans="1:3" x14ac:dyDescent="0.3">
      <c r="A2" s="17" t="s">
        <v>17</v>
      </c>
      <c r="B2" s="17" t="s">
        <v>12</v>
      </c>
      <c r="C2" s="17" t="s">
        <v>16</v>
      </c>
    </row>
    <row r="3" spans="1:3" x14ac:dyDescent="0.3">
      <c r="A3" s="17" t="s">
        <v>17</v>
      </c>
      <c r="B3" s="17" t="s">
        <v>21</v>
      </c>
      <c r="C3" s="17" t="s">
        <v>16</v>
      </c>
    </row>
    <row r="4" spans="1:3" x14ac:dyDescent="0.3">
      <c r="A4" s="17" t="s">
        <v>17</v>
      </c>
      <c r="B4" s="17" t="s">
        <v>25</v>
      </c>
      <c r="C4" s="17" t="s">
        <v>28</v>
      </c>
    </row>
    <row r="5" spans="1:3" x14ac:dyDescent="0.3">
      <c r="A5" s="17" t="s">
        <v>33</v>
      </c>
      <c r="B5" s="17" t="s">
        <v>30</v>
      </c>
      <c r="C5" s="17" t="s">
        <v>32</v>
      </c>
    </row>
    <row r="6" spans="1:3" x14ac:dyDescent="0.3">
      <c r="A6" s="17" t="s">
        <v>33</v>
      </c>
      <c r="B6" s="17" t="s">
        <v>34</v>
      </c>
      <c r="C6" s="17" t="s">
        <v>36</v>
      </c>
    </row>
    <row r="7" spans="1:3" x14ac:dyDescent="0.3">
      <c r="A7" s="17" t="s">
        <v>33</v>
      </c>
      <c r="B7" s="17" t="s">
        <v>38</v>
      </c>
      <c r="C7" s="17" t="s">
        <v>32</v>
      </c>
    </row>
    <row r="8" spans="1:3" x14ac:dyDescent="0.3">
      <c r="A8" s="17" t="s">
        <v>33</v>
      </c>
      <c r="B8" s="17" t="s">
        <v>40</v>
      </c>
      <c r="C8" s="17" t="s">
        <v>42</v>
      </c>
    </row>
    <row r="9" spans="1:3" x14ac:dyDescent="0.3">
      <c r="A9" s="17" t="s">
        <v>33</v>
      </c>
      <c r="B9" s="17" t="s">
        <v>44</v>
      </c>
      <c r="C9" s="17" t="s">
        <v>32</v>
      </c>
    </row>
    <row r="10" spans="1:3" x14ac:dyDescent="0.3">
      <c r="A10" s="17" t="s">
        <v>17</v>
      </c>
      <c r="B10" s="17" t="s">
        <v>47</v>
      </c>
      <c r="C10" s="17" t="s">
        <v>42</v>
      </c>
    </row>
    <row r="11" spans="1:3" x14ac:dyDescent="0.3">
      <c r="A11" s="17" t="s">
        <v>51</v>
      </c>
      <c r="B11" s="17" t="s">
        <v>49</v>
      </c>
      <c r="C11" s="17" t="s">
        <v>32</v>
      </c>
    </row>
    <row r="12" spans="1:3" x14ac:dyDescent="0.3">
      <c r="A12" s="17" t="s">
        <v>54</v>
      </c>
      <c r="B12" s="17" t="s">
        <v>52</v>
      </c>
      <c r="C12" s="17" t="s">
        <v>32</v>
      </c>
    </row>
    <row r="13" spans="1:3" x14ac:dyDescent="0.3">
      <c r="A13" s="17" t="s">
        <v>57</v>
      </c>
      <c r="B13" s="17" t="s">
        <v>55</v>
      </c>
      <c r="C13" s="17" t="s">
        <v>16</v>
      </c>
    </row>
    <row r="14" spans="1:3" x14ac:dyDescent="0.3">
      <c r="A14" s="17" t="s">
        <v>33</v>
      </c>
      <c r="B14" s="17" t="s">
        <v>59</v>
      </c>
      <c r="C14" s="17" t="s">
        <v>28</v>
      </c>
    </row>
    <row r="15" spans="1:3" x14ac:dyDescent="0.3">
      <c r="A15" s="17" t="s">
        <v>33</v>
      </c>
      <c r="B15" s="17" t="s">
        <v>61</v>
      </c>
      <c r="C15" s="17" t="s">
        <v>16</v>
      </c>
    </row>
    <row r="16" spans="1:3" x14ac:dyDescent="0.3">
      <c r="A16" s="17" t="s">
        <v>51</v>
      </c>
      <c r="B16" s="17" t="s">
        <v>64</v>
      </c>
      <c r="C16" s="17" t="s">
        <v>36</v>
      </c>
    </row>
    <row r="17" spans="1:3" x14ac:dyDescent="0.3">
      <c r="A17" s="17" t="s">
        <v>33</v>
      </c>
      <c r="B17" s="17" t="s">
        <v>67</v>
      </c>
      <c r="C17" s="17" t="s">
        <v>42</v>
      </c>
    </row>
    <row r="18" spans="1:3" x14ac:dyDescent="0.3">
      <c r="A18" s="17" t="s">
        <v>51</v>
      </c>
      <c r="B18" s="17" t="s">
        <v>69</v>
      </c>
      <c r="C18" s="17" t="s">
        <v>36</v>
      </c>
    </row>
    <row r="19" spans="1:3" x14ac:dyDescent="0.3">
      <c r="A19" s="17" t="s">
        <v>17</v>
      </c>
      <c r="B19" s="17" t="s">
        <v>72</v>
      </c>
      <c r="C19" s="17" t="s">
        <v>42</v>
      </c>
    </row>
    <row r="20" spans="1:3" x14ac:dyDescent="0.3">
      <c r="A20" s="17" t="s">
        <v>57</v>
      </c>
      <c r="B20" s="17" t="s">
        <v>75</v>
      </c>
      <c r="C20" s="17" t="s">
        <v>77</v>
      </c>
    </row>
    <row r="21" spans="1:3" x14ac:dyDescent="0.3">
      <c r="A21" s="17" t="s">
        <v>33</v>
      </c>
      <c r="B21" s="17" t="s">
        <v>78</v>
      </c>
      <c r="C21" s="17" t="s">
        <v>28</v>
      </c>
    </row>
    <row r="22" spans="1:3" x14ac:dyDescent="0.3">
      <c r="A22" s="17" t="s">
        <v>51</v>
      </c>
      <c r="B22" s="17" t="s">
        <v>80</v>
      </c>
      <c r="C22" s="17" t="s">
        <v>28</v>
      </c>
    </row>
    <row r="23" spans="1:3" x14ac:dyDescent="0.3">
      <c r="A23" s="17" t="s">
        <v>17</v>
      </c>
      <c r="B23" s="17" t="s">
        <v>83</v>
      </c>
      <c r="C23" s="17" t="s">
        <v>16</v>
      </c>
    </row>
    <row r="24" spans="1:3" x14ac:dyDescent="0.3">
      <c r="A24" s="17" t="s">
        <v>17</v>
      </c>
      <c r="B24" s="17" t="s">
        <v>86</v>
      </c>
      <c r="C24" s="17" t="s">
        <v>36</v>
      </c>
    </row>
    <row r="25" spans="1:3" x14ac:dyDescent="0.3">
      <c r="A25" s="17" t="s">
        <v>51</v>
      </c>
      <c r="B25" s="17" t="s">
        <v>88</v>
      </c>
      <c r="C25" s="17" t="s">
        <v>36</v>
      </c>
    </row>
    <row r="26" spans="1:3" x14ac:dyDescent="0.3">
      <c r="A26" s="17" t="s">
        <v>51</v>
      </c>
      <c r="B26" s="17" t="s">
        <v>90</v>
      </c>
      <c r="C26" s="17" t="s">
        <v>16</v>
      </c>
    </row>
    <row r="27" spans="1:3" x14ac:dyDescent="0.3">
      <c r="A27" s="17" t="s">
        <v>51</v>
      </c>
      <c r="B27" s="17" t="s">
        <v>93</v>
      </c>
      <c r="C27" s="17" t="s">
        <v>28</v>
      </c>
    </row>
    <row r="28" spans="1:3" x14ac:dyDescent="0.3">
      <c r="A28" s="17" t="s">
        <v>57</v>
      </c>
      <c r="B28" s="17" t="s">
        <v>95</v>
      </c>
      <c r="C28" s="17" t="s">
        <v>42</v>
      </c>
    </row>
    <row r="29" spans="1:3" x14ac:dyDescent="0.3">
      <c r="A29" s="17" t="s">
        <v>17</v>
      </c>
      <c r="B29" s="17" t="s">
        <v>98</v>
      </c>
      <c r="C29" s="17" t="s">
        <v>28</v>
      </c>
    </row>
    <row r="30" spans="1:3" x14ac:dyDescent="0.3">
      <c r="A30" s="17" t="s">
        <v>51</v>
      </c>
      <c r="B30" s="17" t="s">
        <v>100</v>
      </c>
      <c r="C30" s="17" t="s">
        <v>16</v>
      </c>
    </row>
    <row r="31" spans="1:3" x14ac:dyDescent="0.3">
      <c r="A31" s="17" t="s">
        <v>33</v>
      </c>
      <c r="B31" s="17" t="s">
        <v>102</v>
      </c>
      <c r="C31" s="17" t="s">
        <v>16</v>
      </c>
    </row>
    <row r="32" spans="1:3" x14ac:dyDescent="0.3">
      <c r="A32" s="17" t="s">
        <v>57</v>
      </c>
      <c r="B32" s="17" t="s">
        <v>104</v>
      </c>
      <c r="C32" s="17" t="s">
        <v>36</v>
      </c>
    </row>
    <row r="33" spans="1:3" x14ac:dyDescent="0.3">
      <c r="A33" s="17" t="s">
        <v>33</v>
      </c>
      <c r="B33" s="17" t="s">
        <v>107</v>
      </c>
      <c r="C33" s="17" t="s">
        <v>42</v>
      </c>
    </row>
    <row r="34" spans="1:3" x14ac:dyDescent="0.3">
      <c r="A34" s="17" t="s">
        <v>17</v>
      </c>
      <c r="B34" s="17" t="s">
        <v>109</v>
      </c>
      <c r="C34" s="17" t="s">
        <v>32</v>
      </c>
    </row>
    <row r="35" spans="1:3" x14ac:dyDescent="0.3">
      <c r="A35" s="17" t="s">
        <v>51</v>
      </c>
      <c r="B35" s="17" t="s">
        <v>112</v>
      </c>
      <c r="C35" s="17" t="s">
        <v>28</v>
      </c>
    </row>
    <row r="36" spans="1:3" x14ac:dyDescent="0.3">
      <c r="A36" s="17" t="s">
        <v>51</v>
      </c>
      <c r="B36" s="17" t="s">
        <v>115</v>
      </c>
      <c r="C36" s="17" t="s">
        <v>28</v>
      </c>
    </row>
    <row r="37" spans="1:3" x14ac:dyDescent="0.3">
      <c r="A37" s="17" t="s">
        <v>51</v>
      </c>
      <c r="B37" s="17" t="s">
        <v>117</v>
      </c>
      <c r="C37" s="17" t="s">
        <v>77</v>
      </c>
    </row>
    <row r="38" spans="1:3" x14ac:dyDescent="0.3">
      <c r="A38" s="17" t="s">
        <v>17</v>
      </c>
      <c r="B38" s="17" t="s">
        <v>119</v>
      </c>
      <c r="C38" s="17" t="s">
        <v>28</v>
      </c>
    </row>
    <row r="39" spans="1:3" x14ac:dyDescent="0.3">
      <c r="A39" s="17" t="s">
        <v>51</v>
      </c>
      <c r="B39" s="17" t="s">
        <v>122</v>
      </c>
      <c r="C39" s="17" t="s">
        <v>32</v>
      </c>
    </row>
    <row r="40" spans="1:3" x14ac:dyDescent="0.3">
      <c r="A40" s="17" t="s">
        <v>57</v>
      </c>
      <c r="B40" s="17" t="s">
        <v>125</v>
      </c>
      <c r="C40" s="17" t="s">
        <v>28</v>
      </c>
    </row>
    <row r="41" spans="1:3" x14ac:dyDescent="0.3">
      <c r="A41" s="17" t="s">
        <v>17</v>
      </c>
      <c r="B41" s="17" t="s">
        <v>128</v>
      </c>
      <c r="C41" s="17" t="s">
        <v>28</v>
      </c>
    </row>
    <row r="42" spans="1:3" x14ac:dyDescent="0.3">
      <c r="A42" s="17" t="s">
        <v>57</v>
      </c>
      <c r="B42" s="17" t="s">
        <v>130</v>
      </c>
      <c r="C42" s="17" t="s">
        <v>132</v>
      </c>
    </row>
    <row r="43" spans="1:3" x14ac:dyDescent="0.3">
      <c r="A43" s="17" t="s">
        <v>17</v>
      </c>
      <c r="B43" s="17" t="s">
        <v>134</v>
      </c>
      <c r="C43" s="17" t="s">
        <v>32</v>
      </c>
    </row>
    <row r="44" spans="1:3" x14ac:dyDescent="0.3">
      <c r="A44" s="17" t="s">
        <v>33</v>
      </c>
      <c r="B44" s="17" t="s">
        <v>136</v>
      </c>
      <c r="C44" s="17" t="s">
        <v>16</v>
      </c>
    </row>
    <row r="45" spans="1:3" x14ac:dyDescent="0.3">
      <c r="A45" s="17" t="s">
        <v>51</v>
      </c>
      <c r="B45" s="17" t="s">
        <v>138</v>
      </c>
      <c r="C45" s="17" t="s">
        <v>16</v>
      </c>
    </row>
    <row r="46" spans="1:3" x14ac:dyDescent="0.3">
      <c r="A46" s="17" t="s">
        <v>17</v>
      </c>
      <c r="B46" s="17" t="s">
        <v>140</v>
      </c>
      <c r="C46" s="17" t="s">
        <v>28</v>
      </c>
    </row>
    <row r="47" spans="1:3" x14ac:dyDescent="0.3">
      <c r="A47" s="17" t="s">
        <v>57</v>
      </c>
      <c r="B47" s="17" t="s">
        <v>144</v>
      </c>
      <c r="C47" s="17" t="s">
        <v>28</v>
      </c>
    </row>
    <row r="48" spans="1:3" x14ac:dyDescent="0.3">
      <c r="A48" s="17" t="s">
        <v>33</v>
      </c>
      <c r="B48" s="17" t="s">
        <v>147</v>
      </c>
      <c r="C48" s="17" t="s">
        <v>16</v>
      </c>
    </row>
    <row r="49" spans="1:3" x14ac:dyDescent="0.3">
      <c r="A49" s="17" t="s">
        <v>33</v>
      </c>
      <c r="B49" s="17" t="s">
        <v>149</v>
      </c>
      <c r="C49" s="17" t="s">
        <v>32</v>
      </c>
    </row>
    <row r="50" spans="1:3" x14ac:dyDescent="0.3">
      <c r="A50" s="17" t="s">
        <v>51</v>
      </c>
      <c r="B50" s="17" t="s">
        <v>151</v>
      </c>
      <c r="C50" s="17" t="s">
        <v>16</v>
      </c>
    </row>
    <row r="51" spans="1:3" x14ac:dyDescent="0.3">
      <c r="A51" s="17" t="s">
        <v>33</v>
      </c>
      <c r="B51" s="17" t="s">
        <v>153</v>
      </c>
      <c r="C51" s="17" t="s">
        <v>28</v>
      </c>
    </row>
    <row r="52" spans="1:3" x14ac:dyDescent="0.3">
      <c r="A52" s="17" t="s">
        <v>33</v>
      </c>
      <c r="B52" s="17" t="s">
        <v>155</v>
      </c>
      <c r="C52" s="17" t="s">
        <v>32</v>
      </c>
    </row>
    <row r="53" spans="1:3" x14ac:dyDescent="0.3">
      <c r="A53" s="17" t="s">
        <v>17</v>
      </c>
      <c r="B53" s="17" t="s">
        <v>157</v>
      </c>
      <c r="C53" s="17" t="s">
        <v>16</v>
      </c>
    </row>
    <row r="54" spans="1:3" x14ac:dyDescent="0.3">
      <c r="A54" s="17" t="s">
        <v>51</v>
      </c>
      <c r="B54" s="17" t="s">
        <v>160</v>
      </c>
      <c r="C54" s="17" t="s">
        <v>77</v>
      </c>
    </row>
    <row r="55" spans="1:3" x14ac:dyDescent="0.3">
      <c r="A55" s="17" t="s">
        <v>51</v>
      </c>
      <c r="B55" s="17" t="s">
        <v>163</v>
      </c>
      <c r="C55" s="17" t="s">
        <v>32</v>
      </c>
    </row>
    <row r="56" spans="1:3" x14ac:dyDescent="0.3">
      <c r="A56" s="17" t="s">
        <v>33</v>
      </c>
      <c r="B56" s="17" t="s">
        <v>165</v>
      </c>
      <c r="C56" s="17" t="s">
        <v>36</v>
      </c>
    </row>
    <row r="57" spans="1:3" x14ac:dyDescent="0.3">
      <c r="A57" s="17" t="s">
        <v>57</v>
      </c>
      <c r="B57" s="17" t="s">
        <v>167</v>
      </c>
      <c r="C57" s="17" t="s">
        <v>36</v>
      </c>
    </row>
    <row r="58" spans="1:3" x14ac:dyDescent="0.3">
      <c r="A58" s="17" t="s">
        <v>51</v>
      </c>
      <c r="B58" s="17" t="s">
        <v>170</v>
      </c>
      <c r="C58" s="17" t="s">
        <v>36</v>
      </c>
    </row>
    <row r="59" spans="1:3" x14ac:dyDescent="0.3">
      <c r="A59" s="17" t="s">
        <v>33</v>
      </c>
      <c r="B59" s="17" t="s">
        <v>172</v>
      </c>
      <c r="C59" s="17" t="s">
        <v>16</v>
      </c>
    </row>
    <row r="60" spans="1:3" x14ac:dyDescent="0.3">
      <c r="A60" s="17" t="s">
        <v>17</v>
      </c>
      <c r="B60" s="17" t="s">
        <v>175</v>
      </c>
      <c r="C60" s="17" t="s">
        <v>28</v>
      </c>
    </row>
    <row r="61" spans="1:3" x14ac:dyDescent="0.3">
      <c r="A61" s="17" t="s">
        <v>17</v>
      </c>
      <c r="B61" s="17" t="s">
        <v>177</v>
      </c>
      <c r="C61" s="17" t="s">
        <v>16</v>
      </c>
    </row>
    <row r="62" spans="1:3" x14ac:dyDescent="0.3">
      <c r="A62" s="17" t="s">
        <v>17</v>
      </c>
      <c r="B62" s="17" t="s">
        <v>178</v>
      </c>
      <c r="C62" s="17" t="s">
        <v>16</v>
      </c>
    </row>
    <row r="63" spans="1:3" x14ac:dyDescent="0.3">
      <c r="A63" s="17" t="s">
        <v>33</v>
      </c>
      <c r="B63" s="17" t="s">
        <v>181</v>
      </c>
      <c r="C63" s="17" t="s">
        <v>32</v>
      </c>
    </row>
    <row r="64" spans="1:3" x14ac:dyDescent="0.3">
      <c r="A64" s="17" t="s">
        <v>17</v>
      </c>
      <c r="B64" s="17" t="s">
        <v>183</v>
      </c>
      <c r="C64" s="17" t="s">
        <v>16</v>
      </c>
    </row>
    <row r="65" spans="1:3" x14ac:dyDescent="0.3">
      <c r="A65" s="17" t="s">
        <v>17</v>
      </c>
      <c r="B65" s="17" t="s">
        <v>185</v>
      </c>
      <c r="C65" s="17" t="s">
        <v>77</v>
      </c>
    </row>
    <row r="66" spans="1:3" x14ac:dyDescent="0.3">
      <c r="A66" s="17" t="s">
        <v>33</v>
      </c>
      <c r="B66" s="17" t="s">
        <v>186</v>
      </c>
      <c r="C66" s="17" t="s">
        <v>16</v>
      </c>
    </row>
    <row r="67" spans="1:3" x14ac:dyDescent="0.3">
      <c r="A67" s="17" t="s">
        <v>51</v>
      </c>
      <c r="B67" s="17" t="s">
        <v>188</v>
      </c>
      <c r="C67" s="17" t="s">
        <v>16</v>
      </c>
    </row>
    <row r="68" spans="1:3" x14ac:dyDescent="0.3">
      <c r="A68" s="17" t="s">
        <v>57</v>
      </c>
      <c r="B68" s="17" t="s">
        <v>191</v>
      </c>
      <c r="C68" s="17" t="s">
        <v>16</v>
      </c>
    </row>
    <row r="69" spans="1:3" x14ac:dyDescent="0.3">
      <c r="A69" s="17" t="s">
        <v>17</v>
      </c>
      <c r="B69" s="17" t="s">
        <v>193</v>
      </c>
      <c r="C69" s="17" t="s">
        <v>28</v>
      </c>
    </row>
    <row r="70" spans="1:3" x14ac:dyDescent="0.3">
      <c r="A70" s="17" t="s">
        <v>51</v>
      </c>
      <c r="B70" s="17" t="s">
        <v>195</v>
      </c>
      <c r="C70" s="17" t="s">
        <v>32</v>
      </c>
    </row>
    <row r="71" spans="1:3" x14ac:dyDescent="0.3">
      <c r="A71" s="17" t="s">
        <v>33</v>
      </c>
      <c r="B71" s="17" t="s">
        <v>197</v>
      </c>
      <c r="C71" s="17" t="s">
        <v>32</v>
      </c>
    </row>
    <row r="72" spans="1:3" x14ac:dyDescent="0.3">
      <c r="A72" s="17" t="s">
        <v>57</v>
      </c>
      <c r="B72" s="17" t="s">
        <v>200</v>
      </c>
      <c r="C72" s="17" t="s">
        <v>28</v>
      </c>
    </row>
    <row r="73" spans="1:3" x14ac:dyDescent="0.3">
      <c r="A73" s="17" t="s">
        <v>204</v>
      </c>
      <c r="B73" s="17" t="s">
        <v>202</v>
      </c>
      <c r="C73" s="17" t="s">
        <v>32</v>
      </c>
    </row>
    <row r="74" spans="1:3" x14ac:dyDescent="0.3">
      <c r="A74" s="17" t="s">
        <v>51</v>
      </c>
      <c r="B74" s="17" t="s">
        <v>206</v>
      </c>
      <c r="C74" s="17" t="s">
        <v>32</v>
      </c>
    </row>
    <row r="75" spans="1:3" x14ac:dyDescent="0.3">
      <c r="A75" s="17" t="s">
        <v>204</v>
      </c>
      <c r="B75" s="17" t="s">
        <v>208</v>
      </c>
      <c r="C75" s="17" t="s">
        <v>32</v>
      </c>
    </row>
    <row r="76" spans="1:3" x14ac:dyDescent="0.3">
      <c r="A76" s="17" t="s">
        <v>33</v>
      </c>
      <c r="B76" s="17" t="s">
        <v>210</v>
      </c>
      <c r="C76" s="17" t="s">
        <v>16</v>
      </c>
    </row>
    <row r="77" spans="1:3" x14ac:dyDescent="0.3">
      <c r="A77" s="17" t="s">
        <v>204</v>
      </c>
      <c r="B77" s="17" t="s">
        <v>212</v>
      </c>
      <c r="C77" s="17" t="s">
        <v>16</v>
      </c>
    </row>
    <row r="78" spans="1:3" x14ac:dyDescent="0.3">
      <c r="A78" s="17" t="s">
        <v>33</v>
      </c>
      <c r="B78" s="17" t="s">
        <v>215</v>
      </c>
      <c r="C78" s="17" t="s">
        <v>32</v>
      </c>
    </row>
    <row r="79" spans="1:3" x14ac:dyDescent="0.3">
      <c r="A79" s="17" t="s">
        <v>33</v>
      </c>
      <c r="B79" s="17" t="s">
        <v>218</v>
      </c>
      <c r="C79" s="17" t="s">
        <v>32</v>
      </c>
    </row>
    <row r="80" spans="1:3" x14ac:dyDescent="0.3">
      <c r="A80" s="17" t="s">
        <v>17</v>
      </c>
      <c r="B80" s="17" t="s">
        <v>220</v>
      </c>
      <c r="C80" s="17" t="s">
        <v>16</v>
      </c>
    </row>
    <row r="81" spans="1:3" x14ac:dyDescent="0.3">
      <c r="A81" s="17" t="s">
        <v>224</v>
      </c>
      <c r="B81" s="17" t="s">
        <v>222</v>
      </c>
      <c r="C81" s="17" t="s">
        <v>16</v>
      </c>
    </row>
    <row r="82" spans="1:3" x14ac:dyDescent="0.3">
      <c r="A82" s="17" t="s">
        <v>57</v>
      </c>
      <c r="B82" s="17" t="s">
        <v>225</v>
      </c>
      <c r="C82" s="17" t="s">
        <v>32</v>
      </c>
    </row>
    <row r="83" spans="1:3" x14ac:dyDescent="0.3">
      <c r="A83" s="17" t="s">
        <v>229</v>
      </c>
      <c r="B83" s="17" t="s">
        <v>227</v>
      </c>
      <c r="C83" s="17" t="s">
        <v>28</v>
      </c>
    </row>
    <row r="84" spans="1:3" x14ac:dyDescent="0.3">
      <c r="A84" s="17" t="s">
        <v>232</v>
      </c>
      <c r="B84" s="17" t="s">
        <v>230</v>
      </c>
      <c r="C84" s="17" t="s">
        <v>28</v>
      </c>
    </row>
    <row r="85" spans="1:3" x14ac:dyDescent="0.3">
      <c r="A85" s="17" t="s">
        <v>54</v>
      </c>
      <c r="B85" s="17" t="s">
        <v>234</v>
      </c>
      <c r="C85" s="17" t="s">
        <v>16</v>
      </c>
    </row>
    <row r="86" spans="1:3" x14ac:dyDescent="0.3">
      <c r="A86" s="17" t="s">
        <v>239</v>
      </c>
      <c r="B86" s="17" t="s">
        <v>237</v>
      </c>
      <c r="C86" s="17" t="s">
        <v>16</v>
      </c>
    </row>
    <row r="87" spans="1:3" x14ac:dyDescent="0.3">
      <c r="A87" s="17" t="s">
        <v>224</v>
      </c>
      <c r="B87" s="17" t="s">
        <v>240</v>
      </c>
      <c r="C87" s="17" t="s">
        <v>28</v>
      </c>
    </row>
    <row r="88" spans="1:3" x14ac:dyDescent="0.3">
      <c r="A88" s="17" t="s">
        <v>54</v>
      </c>
      <c r="B88" s="17" t="s">
        <v>242</v>
      </c>
      <c r="C88" s="17" t="s">
        <v>16</v>
      </c>
    </row>
    <row r="89" spans="1:3" x14ac:dyDescent="0.3">
      <c r="A89" s="17" t="s">
        <v>57</v>
      </c>
      <c r="B89" s="17" t="s">
        <v>244</v>
      </c>
      <c r="C89" s="17" t="s">
        <v>16</v>
      </c>
    </row>
    <row r="90" spans="1:3" x14ac:dyDescent="0.3">
      <c r="A90" s="17" t="s">
        <v>54</v>
      </c>
      <c r="B90" s="17" t="s">
        <v>246</v>
      </c>
      <c r="C90" s="17" t="s">
        <v>32</v>
      </c>
    </row>
    <row r="91" spans="1:3" x14ac:dyDescent="0.3">
      <c r="A91" s="17" t="s">
        <v>204</v>
      </c>
      <c r="B91" s="17" t="s">
        <v>248</v>
      </c>
      <c r="C91" s="17" t="s">
        <v>28</v>
      </c>
    </row>
    <row r="92" spans="1:3" x14ac:dyDescent="0.3">
      <c r="A92" s="17" t="s">
        <v>229</v>
      </c>
      <c r="B92" s="17" t="s">
        <v>250</v>
      </c>
      <c r="C92" s="17" t="s">
        <v>32</v>
      </c>
    </row>
    <row r="93" spans="1:3" x14ac:dyDescent="0.3">
      <c r="A93" s="17" t="s">
        <v>232</v>
      </c>
      <c r="B93" s="17" t="s">
        <v>252</v>
      </c>
      <c r="C93" s="17" t="s">
        <v>16</v>
      </c>
    </row>
    <row r="94" spans="1:3" x14ac:dyDescent="0.3">
      <c r="A94" s="17" t="s">
        <v>57</v>
      </c>
      <c r="B94" s="17" t="s">
        <v>255</v>
      </c>
      <c r="C94" s="17" t="s">
        <v>32</v>
      </c>
    </row>
    <row r="95" spans="1:3" x14ac:dyDescent="0.3">
      <c r="A95" s="17" t="s">
        <v>229</v>
      </c>
      <c r="B95" s="17" t="s">
        <v>257</v>
      </c>
      <c r="C95" s="17" t="s">
        <v>32</v>
      </c>
    </row>
    <row r="96" spans="1:3" x14ac:dyDescent="0.3">
      <c r="A96" s="17" t="s">
        <v>232</v>
      </c>
      <c r="B96" s="17" t="s">
        <v>259</v>
      </c>
      <c r="C96" s="17" t="s">
        <v>32</v>
      </c>
    </row>
    <row r="97" spans="1:3" x14ac:dyDescent="0.3">
      <c r="A97" s="17" t="s">
        <v>54</v>
      </c>
      <c r="B97" s="17" t="s">
        <v>261</v>
      </c>
      <c r="C97" s="17" t="s">
        <v>32</v>
      </c>
    </row>
    <row r="98" spans="1:3" x14ac:dyDescent="0.3">
      <c r="A98" s="17" t="s">
        <v>239</v>
      </c>
      <c r="B98" s="17" t="s">
        <v>263</v>
      </c>
      <c r="C98" s="17" t="s">
        <v>16</v>
      </c>
    </row>
    <row r="99" spans="1:3" x14ac:dyDescent="0.3">
      <c r="A99" s="17" t="s">
        <v>229</v>
      </c>
      <c r="B99" s="17" t="s">
        <v>265</v>
      </c>
      <c r="C99" s="17" t="s">
        <v>28</v>
      </c>
    </row>
    <row r="100" spans="1:3" x14ac:dyDescent="0.3">
      <c r="A100" s="17" t="s">
        <v>204</v>
      </c>
      <c r="B100" s="17" t="s">
        <v>267</v>
      </c>
      <c r="C100" s="17" t="s">
        <v>32</v>
      </c>
    </row>
    <row r="101" spans="1:3" x14ac:dyDescent="0.3">
      <c r="A101" s="17" t="s">
        <v>229</v>
      </c>
      <c r="B101" s="17" t="s">
        <v>269</v>
      </c>
      <c r="C101" s="17" t="s">
        <v>16</v>
      </c>
    </row>
    <row r="102" spans="1:3" x14ac:dyDescent="0.3">
      <c r="A102" s="17" t="s">
        <v>232</v>
      </c>
      <c r="B102" s="17" t="s">
        <v>272</v>
      </c>
      <c r="C102" s="17" t="s">
        <v>32</v>
      </c>
    </row>
    <row r="103" spans="1:3" x14ac:dyDescent="0.3">
      <c r="A103" s="17" t="s">
        <v>57</v>
      </c>
      <c r="B103" s="17" t="s">
        <v>275</v>
      </c>
      <c r="C103" s="17" t="s">
        <v>32</v>
      </c>
    </row>
    <row r="104" spans="1:3" x14ac:dyDescent="0.3">
      <c r="A104" s="17" t="s">
        <v>229</v>
      </c>
      <c r="B104" s="17" t="s">
        <v>277</v>
      </c>
      <c r="C104" s="17" t="s">
        <v>77</v>
      </c>
    </row>
    <row r="105" spans="1:3" x14ac:dyDescent="0.3">
      <c r="A105" s="17" t="s">
        <v>232</v>
      </c>
      <c r="B105" s="17" t="s">
        <v>279</v>
      </c>
      <c r="C105" s="17" t="s">
        <v>77</v>
      </c>
    </row>
    <row r="106" spans="1:3" x14ac:dyDescent="0.3">
      <c r="A106" s="17" t="s">
        <v>54</v>
      </c>
      <c r="B106" s="17" t="s">
        <v>281</v>
      </c>
      <c r="C106" s="17" t="s">
        <v>28</v>
      </c>
    </row>
    <row r="107" spans="1:3" x14ac:dyDescent="0.3">
      <c r="A107" s="17" t="s">
        <v>204</v>
      </c>
      <c r="B107" s="17" t="s">
        <v>284</v>
      </c>
      <c r="C107" s="17" t="s">
        <v>28</v>
      </c>
    </row>
    <row r="108" spans="1:3" x14ac:dyDescent="0.3">
      <c r="A108" s="17" t="s">
        <v>57</v>
      </c>
      <c r="B108" s="17" t="s">
        <v>287</v>
      </c>
      <c r="C108" s="17" t="s">
        <v>36</v>
      </c>
    </row>
    <row r="109" spans="1:3" x14ac:dyDescent="0.3">
      <c r="A109" s="17" t="s">
        <v>54</v>
      </c>
      <c r="B109" s="17" t="s">
        <v>289</v>
      </c>
      <c r="C109" s="17" t="s">
        <v>42</v>
      </c>
    </row>
    <row r="110" spans="1:3" x14ac:dyDescent="0.3">
      <c r="A110" s="17" t="s">
        <v>232</v>
      </c>
      <c r="B110" s="17" t="s">
        <v>292</v>
      </c>
      <c r="C110" s="17" t="s">
        <v>42</v>
      </c>
    </row>
    <row r="111" spans="1:3" x14ac:dyDescent="0.3">
      <c r="A111" s="17" t="s">
        <v>297</v>
      </c>
      <c r="B111" s="17" t="s">
        <v>295</v>
      </c>
      <c r="C111" s="17" t="s">
        <v>42</v>
      </c>
    </row>
    <row r="112" spans="1:3" x14ac:dyDescent="0.3">
      <c r="A112" s="17" t="s">
        <v>297</v>
      </c>
      <c r="B112" s="17" t="s">
        <v>298</v>
      </c>
      <c r="C112" s="17" t="s">
        <v>42</v>
      </c>
    </row>
    <row r="113" spans="1:3" x14ac:dyDescent="0.3">
      <c r="A113" s="17" t="s">
        <v>297</v>
      </c>
      <c r="B113" s="17" t="s">
        <v>300</v>
      </c>
      <c r="C113" s="17" t="s">
        <v>28</v>
      </c>
    </row>
    <row r="114" spans="1:3" x14ac:dyDescent="0.3">
      <c r="A114" s="17" t="s">
        <v>297</v>
      </c>
      <c r="B114" s="17" t="s">
        <v>303</v>
      </c>
      <c r="C114" s="17" t="s">
        <v>28</v>
      </c>
    </row>
    <row r="115" spans="1:3" x14ac:dyDescent="0.3">
      <c r="A115" s="17" t="s">
        <v>297</v>
      </c>
      <c r="B115" s="17" t="s">
        <v>305</v>
      </c>
      <c r="C115" s="17" t="s">
        <v>28</v>
      </c>
    </row>
    <row r="116" spans="1:3" x14ac:dyDescent="0.3">
      <c r="A116" s="17" t="s">
        <v>297</v>
      </c>
      <c r="B116" s="17" t="s">
        <v>307</v>
      </c>
      <c r="C116" s="17" t="s">
        <v>36</v>
      </c>
    </row>
    <row r="117" spans="1:3" x14ac:dyDescent="0.3">
      <c r="A117" s="17" t="s">
        <v>297</v>
      </c>
      <c r="B117" s="17" t="s">
        <v>309</v>
      </c>
      <c r="C117" s="17" t="s">
        <v>16</v>
      </c>
    </row>
    <row r="118" spans="1:3" x14ac:dyDescent="0.3">
      <c r="A118" s="17" t="s">
        <v>297</v>
      </c>
      <c r="B118" s="17" t="s">
        <v>311</v>
      </c>
      <c r="C118" s="17" t="s">
        <v>28</v>
      </c>
    </row>
    <row r="119" spans="1:3" x14ac:dyDescent="0.3">
      <c r="A119" s="17" t="s">
        <v>297</v>
      </c>
      <c r="B119" s="17" t="s">
        <v>313</v>
      </c>
      <c r="C119" s="17" t="s">
        <v>16</v>
      </c>
    </row>
    <row r="120" spans="1:3" x14ac:dyDescent="0.3">
      <c r="A120" s="17" t="s">
        <v>297</v>
      </c>
      <c r="B120" s="17" t="s">
        <v>316</v>
      </c>
      <c r="C120" s="17" t="s">
        <v>32</v>
      </c>
    </row>
    <row r="121" spans="1:3" x14ac:dyDescent="0.3">
      <c r="A121" s="17" t="s">
        <v>297</v>
      </c>
      <c r="B121" s="17" t="s">
        <v>318</v>
      </c>
      <c r="C121" s="17" t="s">
        <v>16</v>
      </c>
    </row>
    <row r="122" spans="1:3" x14ac:dyDescent="0.3">
      <c r="A122" s="17" t="s">
        <v>297</v>
      </c>
      <c r="B122" s="17" t="s">
        <v>320</v>
      </c>
      <c r="C122" s="17" t="s">
        <v>16</v>
      </c>
    </row>
    <row r="123" spans="1:3" x14ac:dyDescent="0.3">
      <c r="A123" s="17" t="s">
        <v>297</v>
      </c>
      <c r="B123" s="17" t="s">
        <v>322</v>
      </c>
      <c r="C123" s="17" t="s">
        <v>32</v>
      </c>
    </row>
    <row r="124" spans="1:3" x14ac:dyDescent="0.3">
      <c r="A124" s="17" t="s">
        <v>297</v>
      </c>
      <c r="B124" s="17" t="s">
        <v>324</v>
      </c>
      <c r="C124" s="17" t="s">
        <v>32</v>
      </c>
    </row>
    <row r="125" spans="1:3" x14ac:dyDescent="0.3">
      <c r="A125"/>
      <c r="B125"/>
      <c r="C125"/>
    </row>
    <row r="126" spans="1:3" x14ac:dyDescent="0.3">
      <c r="A126"/>
      <c r="B126"/>
      <c r="C126"/>
    </row>
    <row r="127" spans="1:3" x14ac:dyDescent="0.3">
      <c r="A127"/>
      <c r="B127"/>
      <c r="C127"/>
    </row>
    <row r="128" spans="1:3" x14ac:dyDescent="0.3">
      <c r="A128"/>
      <c r="B128"/>
      <c r="C128"/>
    </row>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sheetData>
  <sheetProtection sheet="1" objects="1" scenarios="1" autoFilter="0" pivotTables="0"/>
  <conditionalFormatting sqref="B2:B118">
    <cfRule type="duplicateValues" dxfId="794" priority="11"/>
  </conditionalFormatting>
  <conditionalFormatting sqref="B2:B124">
    <cfRule type="duplicateValues" dxfId="793" priority="1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06CD-D2B4-454D-877D-62EA1FF90F20}">
  <sheetPr codeName="Sheet3">
    <tabColor theme="4" tint="0.39997558519241921"/>
  </sheetPr>
  <dimension ref="A1:B3"/>
  <sheetViews>
    <sheetView workbookViewId="0"/>
  </sheetViews>
  <sheetFormatPr defaultRowHeight="14.4" x14ac:dyDescent="0.3"/>
  <cols>
    <col min="1" max="1" width="12.21875" bestFit="1" customWidth="1"/>
    <col min="2" max="2" width="5.33203125" bestFit="1" customWidth="1"/>
  </cols>
  <sheetData>
    <row r="1" spans="1:2" x14ac:dyDescent="0.3">
      <c r="A1" s="16" t="s">
        <v>9</v>
      </c>
      <c r="B1" s="16" t="s">
        <v>331</v>
      </c>
    </row>
    <row r="2" spans="1:2" x14ac:dyDescent="0.3">
      <c r="A2" s="22" t="s">
        <v>19</v>
      </c>
      <c r="B2" s="22" t="s">
        <v>327</v>
      </c>
    </row>
    <row r="3" spans="1:2" x14ac:dyDescent="0.3">
      <c r="A3" s="22" t="s">
        <v>334</v>
      </c>
      <c r="B3" s="22" t="s">
        <v>328</v>
      </c>
    </row>
  </sheetData>
  <sheetProtection sheet="1" objects="1" scenarios="1"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1DEE2-9EAF-49D4-B992-55A87E57A8C2}">
  <sheetPr codeName="Sheet6">
    <tabColor theme="4" tint="0.39997558519241921"/>
  </sheetPr>
  <dimension ref="A1:C8"/>
  <sheetViews>
    <sheetView workbookViewId="0"/>
  </sheetViews>
  <sheetFormatPr defaultRowHeight="14.4" x14ac:dyDescent="0.3"/>
  <cols>
    <col min="1" max="1" width="12.33203125" bestFit="1" customWidth="1"/>
    <col min="2" max="2" width="15.109375" bestFit="1" customWidth="1"/>
    <col min="3" max="3" width="10.88671875" bestFit="1" customWidth="1"/>
  </cols>
  <sheetData>
    <row r="1" spans="1:3" x14ac:dyDescent="0.3">
      <c r="A1" s="16" t="s">
        <v>329</v>
      </c>
      <c r="B1" s="16" t="s">
        <v>6</v>
      </c>
      <c r="C1" s="16" t="s">
        <v>330</v>
      </c>
    </row>
    <row r="2" spans="1:3" x14ac:dyDescent="0.3">
      <c r="A2" s="22" t="s">
        <v>332</v>
      </c>
      <c r="B2" s="22" t="s">
        <v>132</v>
      </c>
      <c r="C2" s="23">
        <v>40000000</v>
      </c>
    </row>
    <row r="3" spans="1:3" x14ac:dyDescent="0.3">
      <c r="A3" s="22" t="s">
        <v>333</v>
      </c>
      <c r="B3" s="22" t="s">
        <v>36</v>
      </c>
      <c r="C3" s="23">
        <v>25000000</v>
      </c>
    </row>
    <row r="4" spans="1:3" x14ac:dyDescent="0.3">
      <c r="A4" s="22" t="s">
        <v>335</v>
      </c>
      <c r="B4" s="22" t="s">
        <v>42</v>
      </c>
      <c r="C4" s="23">
        <v>18000000</v>
      </c>
    </row>
    <row r="5" spans="1:3" x14ac:dyDescent="0.3">
      <c r="A5" s="22" t="s">
        <v>336</v>
      </c>
      <c r="B5" s="22" t="s">
        <v>77</v>
      </c>
      <c r="C5" s="23">
        <v>12000000</v>
      </c>
    </row>
    <row r="6" spans="1:3" x14ac:dyDescent="0.3">
      <c r="A6" s="22" t="s">
        <v>337</v>
      </c>
      <c r="B6" s="22" t="s">
        <v>28</v>
      </c>
      <c r="C6" s="23">
        <v>7000000</v>
      </c>
    </row>
    <row r="7" spans="1:3" x14ac:dyDescent="0.3">
      <c r="A7" s="22" t="s">
        <v>338</v>
      </c>
      <c r="B7" s="22" t="s">
        <v>16</v>
      </c>
      <c r="C7" s="23">
        <v>5000000</v>
      </c>
    </row>
    <row r="8" spans="1:3" x14ac:dyDescent="0.3">
      <c r="A8" s="22" t="s">
        <v>339</v>
      </c>
      <c r="B8" s="22" t="s">
        <v>32</v>
      </c>
      <c r="C8" s="23">
        <v>4000000</v>
      </c>
    </row>
  </sheetData>
  <sheetProtection sheet="1" objects="1" scenarios="1"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D9DE7-E0F5-42C8-929D-9477DCAE0497}">
  <sheetPr codeName="Sheet7">
    <tabColor theme="4" tint="0.39997558519241921"/>
  </sheetPr>
  <dimension ref="A1:B9"/>
  <sheetViews>
    <sheetView workbookViewId="0"/>
  </sheetViews>
  <sheetFormatPr defaultRowHeight="14.4" x14ac:dyDescent="0.3"/>
  <cols>
    <col min="1" max="1" width="15.33203125" bestFit="1" customWidth="1"/>
    <col min="2" max="2" width="16.109375" bestFit="1" customWidth="1"/>
    <col min="3" max="8" width="15.6640625" customWidth="1"/>
  </cols>
  <sheetData>
    <row r="1" spans="1:2" x14ac:dyDescent="0.3">
      <c r="B1" s="6" t="s">
        <v>341</v>
      </c>
    </row>
    <row r="2" spans="1:2" x14ac:dyDescent="0.3">
      <c r="A2" s="24" t="s">
        <v>6</v>
      </c>
      <c r="B2" s="24" t="s">
        <v>340</v>
      </c>
    </row>
    <row r="3" spans="1:2" x14ac:dyDescent="0.3">
      <c r="A3" s="22" t="s">
        <v>132</v>
      </c>
      <c r="B3" s="25">
        <v>2</v>
      </c>
    </row>
    <row r="4" spans="1:2" x14ac:dyDescent="0.3">
      <c r="A4" s="22" t="s">
        <v>36</v>
      </c>
      <c r="B4" s="25">
        <v>2</v>
      </c>
    </row>
    <row r="5" spans="1:2" x14ac:dyDescent="0.3">
      <c r="A5" s="22" t="s">
        <v>42</v>
      </c>
      <c r="B5" s="25">
        <v>2</v>
      </c>
    </row>
    <row r="6" spans="1:2" x14ac:dyDescent="0.3">
      <c r="A6" s="22" t="s">
        <v>77</v>
      </c>
      <c r="B6" s="25">
        <v>2</v>
      </c>
    </row>
    <row r="7" spans="1:2" x14ac:dyDescent="0.3">
      <c r="A7" s="22" t="s">
        <v>28</v>
      </c>
      <c r="B7" s="25">
        <v>1</v>
      </c>
    </row>
    <row r="8" spans="1:2" x14ac:dyDescent="0.3">
      <c r="A8" s="22" t="s">
        <v>16</v>
      </c>
      <c r="B8" s="25">
        <v>1</v>
      </c>
    </row>
    <row r="9" spans="1:2" x14ac:dyDescent="0.3">
      <c r="A9" s="22" t="s">
        <v>32</v>
      </c>
      <c r="B9" s="25">
        <v>1</v>
      </c>
    </row>
  </sheetData>
  <sheetProtection sheet="1" objects="1" scenarios="1"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3F3F-7E37-40DE-837C-8947F4A57611}">
  <sheetPr codeName="Sheet2">
    <tabColor theme="1"/>
  </sheetPr>
  <dimension ref="A1:G51"/>
  <sheetViews>
    <sheetView zoomScale="68" workbookViewId="0"/>
  </sheetViews>
  <sheetFormatPr defaultRowHeight="14.4" x14ac:dyDescent="0.3"/>
  <cols>
    <col min="1" max="1" width="35.5546875" customWidth="1"/>
    <col min="2" max="2" width="14.33203125" bestFit="1" customWidth="1"/>
    <col min="3" max="3" width="24" bestFit="1" customWidth="1"/>
    <col min="4" max="4" width="36.33203125" customWidth="1"/>
    <col min="5" max="5" width="12" customWidth="1"/>
    <col min="6" max="6" width="16.77734375" bestFit="1" customWidth="1"/>
    <col min="7" max="8" width="24" bestFit="1" customWidth="1"/>
    <col min="9" max="9" width="11.33203125" bestFit="1" customWidth="1"/>
    <col min="10" max="10" width="24" bestFit="1" customWidth="1"/>
    <col min="11" max="11" width="36.33203125" bestFit="1" customWidth="1"/>
    <col min="12" max="12" width="24" bestFit="1" customWidth="1"/>
  </cols>
  <sheetData>
    <row r="1" spans="1:7" x14ac:dyDescent="0.3">
      <c r="A1" s="41" t="s">
        <v>344</v>
      </c>
      <c r="C1" s="41" t="s">
        <v>345</v>
      </c>
      <c r="D1" s="41" t="s">
        <v>344</v>
      </c>
      <c r="F1" s="41" t="s">
        <v>345</v>
      </c>
      <c r="G1" s="41" t="s">
        <v>344</v>
      </c>
    </row>
    <row r="2" spans="1:7" x14ac:dyDescent="0.3">
      <c r="A2" s="40">
        <v>123</v>
      </c>
      <c r="C2" s="36" t="s">
        <v>132</v>
      </c>
      <c r="D2" s="39">
        <v>1</v>
      </c>
      <c r="F2" s="36" t="s">
        <v>14</v>
      </c>
      <c r="G2" s="39">
        <v>109</v>
      </c>
    </row>
    <row r="3" spans="1:7" x14ac:dyDescent="0.3">
      <c r="C3" s="36" t="s">
        <v>77</v>
      </c>
      <c r="D3" s="39">
        <v>6</v>
      </c>
      <c r="F3" s="36" t="s">
        <v>63</v>
      </c>
      <c r="G3" s="39">
        <v>4</v>
      </c>
    </row>
    <row r="4" spans="1:7" x14ac:dyDescent="0.3">
      <c r="C4" s="36" t="s">
        <v>42</v>
      </c>
      <c r="D4" s="39">
        <v>10</v>
      </c>
      <c r="F4" s="36" t="s">
        <v>24</v>
      </c>
      <c r="G4" s="39">
        <v>4</v>
      </c>
    </row>
    <row r="5" spans="1:7" x14ac:dyDescent="0.3">
      <c r="A5" s="41" t="s">
        <v>380</v>
      </c>
      <c r="C5" s="36" t="s">
        <v>36</v>
      </c>
      <c r="D5" s="39">
        <v>11</v>
      </c>
      <c r="F5" s="36" t="s">
        <v>274</v>
      </c>
      <c r="G5" s="39">
        <v>3</v>
      </c>
    </row>
    <row r="6" spans="1:7" x14ac:dyDescent="0.3">
      <c r="A6" s="33">
        <v>36.609756097560975</v>
      </c>
      <c r="C6" s="36" t="s">
        <v>28</v>
      </c>
      <c r="D6" s="39">
        <v>28</v>
      </c>
      <c r="F6" s="36" t="s">
        <v>127</v>
      </c>
      <c r="G6" s="39">
        <v>2</v>
      </c>
    </row>
    <row r="7" spans="1:7" x14ac:dyDescent="0.3">
      <c r="C7" s="36" t="s">
        <v>32</v>
      </c>
      <c r="D7" s="39">
        <v>32</v>
      </c>
      <c r="F7" s="36" t="s">
        <v>142</v>
      </c>
      <c r="G7" s="39">
        <v>1</v>
      </c>
    </row>
    <row r="8" spans="1:7" x14ac:dyDescent="0.3">
      <c r="C8" s="36" t="s">
        <v>16</v>
      </c>
      <c r="D8" s="39">
        <v>35</v>
      </c>
      <c r="F8" s="42" t="s">
        <v>346</v>
      </c>
      <c r="G8" s="43">
        <v>123</v>
      </c>
    </row>
    <row r="9" spans="1:7" x14ac:dyDescent="0.3">
      <c r="A9" s="41" t="s">
        <v>381</v>
      </c>
      <c r="C9" s="42" t="s">
        <v>346</v>
      </c>
      <c r="D9" s="43">
        <v>123</v>
      </c>
    </row>
    <row r="10" spans="1:7" x14ac:dyDescent="0.3">
      <c r="A10" s="34">
        <v>0.78300813008130055</v>
      </c>
    </row>
    <row r="11" spans="1:7" x14ac:dyDescent="0.3">
      <c r="F11" s="41" t="s">
        <v>345</v>
      </c>
      <c r="G11" s="41" t="s">
        <v>386</v>
      </c>
    </row>
    <row r="12" spans="1:7" x14ac:dyDescent="0.3">
      <c r="C12" s="41" t="s">
        <v>345</v>
      </c>
      <c r="D12" s="41" t="s">
        <v>344</v>
      </c>
      <c r="F12" s="36" t="s">
        <v>36</v>
      </c>
      <c r="G12" s="37">
        <v>275000000</v>
      </c>
    </row>
    <row r="13" spans="1:7" x14ac:dyDescent="0.3">
      <c r="A13" s="41" t="s">
        <v>382</v>
      </c>
      <c r="C13" s="36" t="s">
        <v>224</v>
      </c>
      <c r="D13" s="39">
        <v>2</v>
      </c>
      <c r="F13" s="36" t="s">
        <v>28</v>
      </c>
      <c r="G13" s="37">
        <v>196000000</v>
      </c>
    </row>
    <row r="14" spans="1:7" x14ac:dyDescent="0.3">
      <c r="A14" s="35">
        <v>1267000000</v>
      </c>
      <c r="C14" s="36" t="s">
        <v>239</v>
      </c>
      <c r="D14" s="39">
        <v>2</v>
      </c>
      <c r="F14" s="36" t="s">
        <v>42</v>
      </c>
      <c r="G14" s="37">
        <v>180000000</v>
      </c>
    </row>
    <row r="15" spans="1:7" x14ac:dyDescent="0.3">
      <c r="C15" s="36" t="s">
        <v>232</v>
      </c>
      <c r="D15" s="39">
        <v>6</v>
      </c>
      <c r="F15" s="36" t="s">
        <v>16</v>
      </c>
      <c r="G15" s="37">
        <v>175000000</v>
      </c>
    </row>
    <row r="16" spans="1:7" x14ac:dyDescent="0.3">
      <c r="C16" s="36" t="s">
        <v>204</v>
      </c>
      <c r="D16" s="39">
        <v>6</v>
      </c>
      <c r="F16" s="36" t="s">
        <v>32</v>
      </c>
      <c r="G16" s="37">
        <v>128000000</v>
      </c>
    </row>
    <row r="17" spans="2:7" x14ac:dyDescent="0.3">
      <c r="C17" s="36" t="s">
        <v>229</v>
      </c>
      <c r="D17" s="39">
        <v>6</v>
      </c>
      <c r="F17" s="36" t="s">
        <v>77</v>
      </c>
      <c r="G17" s="37">
        <v>72000000</v>
      </c>
    </row>
    <row r="18" spans="2:7" x14ac:dyDescent="0.3">
      <c r="C18" s="36" t="s">
        <v>54</v>
      </c>
      <c r="D18" s="39">
        <v>7</v>
      </c>
      <c r="F18" s="36" t="s">
        <v>132</v>
      </c>
      <c r="G18" s="37">
        <v>40000000</v>
      </c>
    </row>
    <row r="19" spans="2:7" x14ac:dyDescent="0.3">
      <c r="C19" s="36" t="s">
        <v>297</v>
      </c>
      <c r="D19" s="39">
        <v>14</v>
      </c>
      <c r="F19" s="44" t="s">
        <v>346</v>
      </c>
      <c r="G19" s="45">
        <v>1066000000</v>
      </c>
    </row>
    <row r="20" spans="2:7" x14ac:dyDescent="0.3">
      <c r="C20" s="36" t="s">
        <v>57</v>
      </c>
      <c r="D20" s="39">
        <v>15</v>
      </c>
    </row>
    <row r="21" spans="2:7" x14ac:dyDescent="0.3">
      <c r="C21" s="36" t="s">
        <v>51</v>
      </c>
      <c r="D21" s="39">
        <v>20</v>
      </c>
    </row>
    <row r="22" spans="2:7" x14ac:dyDescent="0.3">
      <c r="C22" s="36" t="s">
        <v>17</v>
      </c>
      <c r="D22" s="39">
        <v>21</v>
      </c>
      <c r="F22" s="41" t="s">
        <v>345</v>
      </c>
      <c r="G22" s="41" t="s">
        <v>348</v>
      </c>
    </row>
    <row r="23" spans="2:7" x14ac:dyDescent="0.3">
      <c r="C23" s="36" t="s">
        <v>33</v>
      </c>
      <c r="D23" s="39">
        <v>24</v>
      </c>
      <c r="F23" s="36" t="s">
        <v>42</v>
      </c>
      <c r="G23" s="38">
        <v>108000000</v>
      </c>
    </row>
    <row r="24" spans="2:7" x14ac:dyDescent="0.3">
      <c r="C24" s="42" t="s">
        <v>346</v>
      </c>
      <c r="D24" s="43">
        <v>123</v>
      </c>
      <c r="F24" s="36" t="s">
        <v>28</v>
      </c>
      <c r="G24" s="38">
        <v>49000000</v>
      </c>
    </row>
    <row r="25" spans="2:7" x14ac:dyDescent="0.3">
      <c r="F25" s="36" t="s">
        <v>16</v>
      </c>
      <c r="G25" s="38">
        <v>40000000</v>
      </c>
    </row>
    <row r="26" spans="2:7" x14ac:dyDescent="0.3">
      <c r="F26" s="36" t="s">
        <v>32</v>
      </c>
      <c r="G26" s="38">
        <v>4000000</v>
      </c>
    </row>
    <row r="27" spans="2:7" x14ac:dyDescent="0.3">
      <c r="B27" s="41" t="s">
        <v>345</v>
      </c>
      <c r="C27" s="41" t="s">
        <v>344</v>
      </c>
      <c r="D27" s="41" t="s">
        <v>385</v>
      </c>
      <c r="F27" s="36" t="s">
        <v>77</v>
      </c>
      <c r="G27" s="38">
        <v>0</v>
      </c>
    </row>
    <row r="28" spans="2:7" x14ac:dyDescent="0.3">
      <c r="B28" s="36" t="s">
        <v>349</v>
      </c>
      <c r="C28" s="39">
        <v>4</v>
      </c>
      <c r="D28" s="39">
        <v>4</v>
      </c>
      <c r="F28" s="36" t="s">
        <v>36</v>
      </c>
      <c r="G28" s="38">
        <v>0</v>
      </c>
    </row>
    <row r="29" spans="2:7" x14ac:dyDescent="0.3">
      <c r="B29" s="36" t="s">
        <v>350</v>
      </c>
      <c r="C29" s="39">
        <v>1</v>
      </c>
      <c r="D29" s="39">
        <v>5</v>
      </c>
      <c r="F29" s="36" t="s">
        <v>132</v>
      </c>
      <c r="G29" s="38">
        <v>0</v>
      </c>
    </row>
    <row r="30" spans="2:7" x14ac:dyDescent="0.3">
      <c r="B30" s="36" t="s">
        <v>351</v>
      </c>
      <c r="C30" s="39">
        <v>2</v>
      </c>
      <c r="D30" s="39">
        <v>7</v>
      </c>
      <c r="F30" s="42" t="s">
        <v>346</v>
      </c>
      <c r="G30" s="46">
        <v>201000000</v>
      </c>
    </row>
    <row r="31" spans="2:7" x14ac:dyDescent="0.3">
      <c r="B31" s="36" t="s">
        <v>352</v>
      </c>
      <c r="C31" s="39">
        <v>1</v>
      </c>
      <c r="D31" s="39">
        <v>8</v>
      </c>
    </row>
    <row r="32" spans="2:7" x14ac:dyDescent="0.3">
      <c r="B32" s="36" t="s">
        <v>353</v>
      </c>
      <c r="C32" s="39">
        <v>5</v>
      </c>
      <c r="D32" s="39">
        <v>13</v>
      </c>
    </row>
    <row r="33" spans="2:7" x14ac:dyDescent="0.3">
      <c r="B33" s="36" t="s">
        <v>354</v>
      </c>
      <c r="C33" s="39">
        <v>2</v>
      </c>
      <c r="D33" s="39">
        <v>15</v>
      </c>
      <c r="F33" s="41" t="s">
        <v>345</v>
      </c>
      <c r="G33" s="41" t="s">
        <v>344</v>
      </c>
    </row>
    <row r="34" spans="2:7" x14ac:dyDescent="0.3">
      <c r="B34" s="36" t="s">
        <v>355</v>
      </c>
      <c r="C34" s="39">
        <v>3</v>
      </c>
      <c r="D34" s="39">
        <v>18</v>
      </c>
      <c r="F34" s="36" t="s">
        <v>334</v>
      </c>
      <c r="G34" s="39">
        <v>67</v>
      </c>
    </row>
    <row r="35" spans="2:7" x14ac:dyDescent="0.3">
      <c r="B35" s="36" t="s">
        <v>356</v>
      </c>
      <c r="C35" s="39">
        <v>1</v>
      </c>
      <c r="D35" s="39">
        <v>19</v>
      </c>
      <c r="F35" s="36" t="s">
        <v>19</v>
      </c>
      <c r="G35" s="39">
        <v>56</v>
      </c>
    </row>
    <row r="36" spans="2:7" x14ac:dyDescent="0.3">
      <c r="B36" s="36" t="s">
        <v>357</v>
      </c>
      <c r="C36" s="39">
        <v>4</v>
      </c>
      <c r="D36" s="39">
        <v>23</v>
      </c>
      <c r="F36" s="42" t="s">
        <v>346</v>
      </c>
      <c r="G36" s="43">
        <v>123</v>
      </c>
    </row>
    <row r="37" spans="2:7" x14ac:dyDescent="0.3">
      <c r="B37" s="36" t="s">
        <v>369</v>
      </c>
      <c r="C37" s="39">
        <v>1</v>
      </c>
      <c r="D37" s="39">
        <v>24</v>
      </c>
    </row>
    <row r="38" spans="2:7" x14ac:dyDescent="0.3">
      <c r="B38" s="36" t="s">
        <v>358</v>
      </c>
      <c r="C38" s="39">
        <v>3</v>
      </c>
      <c r="D38" s="39">
        <v>27</v>
      </c>
    </row>
    <row r="39" spans="2:7" x14ac:dyDescent="0.3">
      <c r="B39" s="36" t="s">
        <v>359</v>
      </c>
      <c r="C39" s="39">
        <v>2</v>
      </c>
      <c r="D39" s="39">
        <v>29</v>
      </c>
    </row>
    <row r="40" spans="2:7" x14ac:dyDescent="0.3">
      <c r="B40" s="36" t="s">
        <v>360</v>
      </c>
      <c r="C40" s="39">
        <v>4</v>
      </c>
      <c r="D40" s="39">
        <v>33</v>
      </c>
    </row>
    <row r="41" spans="2:7" x14ac:dyDescent="0.3">
      <c r="B41" s="36" t="s">
        <v>370</v>
      </c>
      <c r="C41" s="39">
        <v>2</v>
      </c>
      <c r="D41" s="39">
        <v>35</v>
      </c>
    </row>
    <row r="42" spans="2:7" x14ac:dyDescent="0.3">
      <c r="B42" s="36" t="s">
        <v>361</v>
      </c>
      <c r="C42" s="39">
        <v>13</v>
      </c>
      <c r="D42" s="39">
        <v>48</v>
      </c>
    </row>
    <row r="43" spans="2:7" x14ac:dyDescent="0.3">
      <c r="B43" s="36" t="s">
        <v>362</v>
      </c>
      <c r="C43" s="39">
        <v>13</v>
      </c>
      <c r="D43" s="39">
        <v>61</v>
      </c>
    </row>
    <row r="44" spans="2:7" x14ac:dyDescent="0.3">
      <c r="B44" s="36" t="s">
        <v>363</v>
      </c>
      <c r="C44" s="39">
        <v>17</v>
      </c>
      <c r="D44" s="39">
        <v>78</v>
      </c>
    </row>
    <row r="45" spans="2:7" x14ac:dyDescent="0.3">
      <c r="B45" s="36" t="s">
        <v>364</v>
      </c>
      <c r="C45" s="39">
        <v>12</v>
      </c>
      <c r="D45" s="39">
        <v>90</v>
      </c>
    </row>
    <row r="46" spans="2:7" x14ac:dyDescent="0.3">
      <c r="B46" s="36" t="s">
        <v>365</v>
      </c>
      <c r="C46" s="39">
        <v>6</v>
      </c>
      <c r="D46" s="39">
        <v>96</v>
      </c>
    </row>
    <row r="47" spans="2:7" x14ac:dyDescent="0.3">
      <c r="B47" s="36" t="s">
        <v>371</v>
      </c>
      <c r="C47" s="39">
        <v>5</v>
      </c>
      <c r="D47" s="39">
        <v>101</v>
      </c>
    </row>
    <row r="48" spans="2:7" x14ac:dyDescent="0.3">
      <c r="B48" s="36" t="s">
        <v>366</v>
      </c>
      <c r="C48" s="39">
        <v>14</v>
      </c>
      <c r="D48" s="39">
        <v>115</v>
      </c>
    </row>
    <row r="49" spans="2:4" x14ac:dyDescent="0.3">
      <c r="B49" s="36" t="s">
        <v>367</v>
      </c>
      <c r="C49" s="39">
        <v>4</v>
      </c>
      <c r="D49" s="39">
        <v>119</v>
      </c>
    </row>
    <row r="50" spans="2:4" x14ac:dyDescent="0.3">
      <c r="B50" s="36" t="s">
        <v>368</v>
      </c>
      <c r="C50" s="39">
        <v>4</v>
      </c>
      <c r="D50" s="39">
        <v>123</v>
      </c>
    </row>
    <row r="51" spans="2:4" x14ac:dyDescent="0.3">
      <c r="B51" s="42" t="s">
        <v>346</v>
      </c>
      <c r="C51" s="43">
        <v>123</v>
      </c>
      <c r="D51" s="43"/>
    </row>
  </sheetData>
  <sheetProtection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0D36-AB26-49E2-B157-39EFFC84624B}">
  <sheetPr codeName="Sheet8">
    <tabColor theme="1"/>
  </sheetPr>
  <dimension ref="A1:PF45"/>
  <sheetViews>
    <sheetView showGridLines="0" topLeftCell="B1" zoomScale="70" zoomScaleNormal="70" workbookViewId="0">
      <selection activeCell="L24" sqref="L24"/>
    </sheetView>
  </sheetViews>
  <sheetFormatPr defaultColWidth="0" defaultRowHeight="15.45" customHeight="1" zeroHeight="1" x14ac:dyDescent="0.3"/>
  <cols>
    <col min="1" max="1" width="6.33203125" style="1" hidden="1" customWidth="1"/>
    <col min="2" max="2" width="29.44140625" style="3" customWidth="1"/>
    <col min="3" max="3" width="7.77734375" style="1" customWidth="1"/>
    <col min="4" max="4" width="20.77734375" style="1" customWidth="1"/>
    <col min="5" max="5" width="35.77734375" style="1" customWidth="1"/>
    <col min="6" max="6" width="8.77734375" style="1" customWidth="1"/>
    <col min="7" max="7" width="20.77734375" style="1" customWidth="1"/>
    <col min="8" max="8" width="35.77734375" style="1" customWidth="1"/>
    <col min="9" max="9" width="8.77734375" style="1" customWidth="1"/>
    <col min="10" max="10" width="20.77734375" style="1" customWidth="1"/>
    <col min="11" max="11" width="35.77734375" style="1" customWidth="1"/>
    <col min="12" max="12" width="8.77734375" style="1" customWidth="1"/>
    <col min="13" max="13" width="20.77734375" style="1" customWidth="1"/>
    <col min="14" max="14" width="35.77734375" style="1" customWidth="1"/>
    <col min="15" max="15" width="7.77734375" style="1" customWidth="1"/>
    <col min="16" max="18" width="11.6640625" style="1" hidden="1" customWidth="1"/>
    <col min="19" max="16384" width="11.6640625" style="1" hidden="1"/>
  </cols>
  <sheetData>
    <row r="1" spans="2:422" ht="79.8" customHeight="1" x14ac:dyDescent="0.3">
      <c r="B1" s="11"/>
      <c r="C1" s="27" t="s">
        <v>384</v>
      </c>
      <c r="D1" s="27"/>
      <c r="E1" s="27"/>
      <c r="F1" s="27"/>
      <c r="G1" s="27"/>
      <c r="H1" s="27"/>
      <c r="I1" s="5"/>
      <c r="J1" s="5"/>
      <c r="K1" s="5"/>
      <c r="L1" s="5"/>
      <c r="M1" s="5"/>
      <c r="N1" s="5"/>
      <c r="O1" s="5"/>
    </row>
    <row r="2" spans="2:422" ht="15.6" x14ac:dyDescent="0.3">
      <c r="B2" s="5"/>
    </row>
    <row r="3" spans="2:422" ht="19.95" customHeight="1" x14ac:dyDescent="0.3">
      <c r="B3" s="5"/>
      <c r="D3" s="28" t="s">
        <v>0</v>
      </c>
      <c r="E3" s="28"/>
      <c r="F3" s="28"/>
      <c r="G3" s="28"/>
      <c r="H3" s="28"/>
      <c r="I3" s="28"/>
      <c r="J3" s="28"/>
      <c r="K3" s="28"/>
      <c r="L3" s="28"/>
      <c r="M3" s="28"/>
      <c r="N3" s="28"/>
    </row>
    <row r="4" spans="2:422" ht="15.6" x14ac:dyDescent="0.3">
      <c r="B4" s="5"/>
      <c r="D4" s="2"/>
    </row>
    <row r="5" spans="2:422" ht="19.95" customHeight="1" x14ac:dyDescent="0.35">
      <c r="B5" s="5"/>
      <c r="D5" s="9" t="s">
        <v>2</v>
      </c>
      <c r="E5" s="26" t="s">
        <v>95</v>
      </c>
      <c r="G5" s="9" t="s">
        <v>9</v>
      </c>
      <c r="H5" s="12" t="str">
        <f>_xlfn.XLOOKUP($E$5,'Data Karyawan'!$A$2:$A$124,'Data Karyawan'!$H$2:$H$124)</f>
        <v>Laki-Laki</v>
      </c>
      <c r="J5" s="9" t="s">
        <v>1</v>
      </c>
      <c r="K5" s="12" t="str">
        <f>_xlfn.XLOOKUP($E$5,'Data Karyawan'!$A$2:$A$124,'Data Karyawan'!$C$2:$C$124)</f>
        <v>JAKARTA</v>
      </c>
      <c r="M5" s="9" t="s">
        <v>330</v>
      </c>
      <c r="N5" s="14" cm="1">
        <f t="array" ref="N5:PF5">_xlfn.XLOOKUP($E$5,'Data Karyawan'!$A$2:$A$124,'Data Karyawan'!$P$2:PH$124)</f>
        <v>18000000</v>
      </c>
      <c r="O5" s="8">
        <v>36000000</v>
      </c>
      <c r="P5" s="1">
        <v>0</v>
      </c>
      <c r="Q5" s="1">
        <v>0</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0</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0</v>
      </c>
      <c r="JO5" s="1">
        <v>0</v>
      </c>
      <c r="JP5" s="1">
        <v>0</v>
      </c>
      <c r="JQ5" s="1">
        <v>0</v>
      </c>
      <c r="JR5" s="1">
        <v>0</v>
      </c>
      <c r="JS5" s="1">
        <v>0</v>
      </c>
      <c r="JT5" s="1">
        <v>0</v>
      </c>
      <c r="JU5" s="1">
        <v>0</v>
      </c>
      <c r="JV5" s="1">
        <v>0</v>
      </c>
      <c r="JW5" s="1">
        <v>0</v>
      </c>
      <c r="JX5" s="1">
        <v>0</v>
      </c>
      <c r="JY5" s="1">
        <v>0</v>
      </c>
      <c r="JZ5" s="1">
        <v>0</v>
      </c>
      <c r="KA5" s="1">
        <v>0</v>
      </c>
      <c r="KB5" s="1">
        <v>0</v>
      </c>
      <c r="KC5" s="1">
        <v>0</v>
      </c>
      <c r="KD5" s="1">
        <v>0</v>
      </c>
      <c r="KE5" s="1">
        <v>0</v>
      </c>
      <c r="KF5" s="1">
        <v>0</v>
      </c>
      <c r="KG5" s="1">
        <v>0</v>
      </c>
      <c r="KH5" s="1">
        <v>0</v>
      </c>
      <c r="KI5" s="1">
        <v>0</v>
      </c>
      <c r="KJ5" s="1">
        <v>0</v>
      </c>
      <c r="KK5" s="1">
        <v>0</v>
      </c>
      <c r="KL5" s="1">
        <v>0</v>
      </c>
      <c r="KM5" s="1">
        <v>0</v>
      </c>
      <c r="KN5" s="1">
        <v>0</v>
      </c>
      <c r="KO5" s="1">
        <v>0</v>
      </c>
      <c r="KP5" s="1">
        <v>0</v>
      </c>
      <c r="KQ5" s="1">
        <v>0</v>
      </c>
      <c r="KR5" s="1">
        <v>0</v>
      </c>
      <c r="KS5" s="1">
        <v>0</v>
      </c>
      <c r="KT5" s="1">
        <v>0</v>
      </c>
      <c r="KU5" s="1">
        <v>0</v>
      </c>
      <c r="KV5" s="1">
        <v>0</v>
      </c>
      <c r="KW5" s="1">
        <v>0</v>
      </c>
      <c r="KX5" s="1">
        <v>0</v>
      </c>
      <c r="KY5" s="1">
        <v>0</v>
      </c>
      <c r="KZ5" s="1">
        <v>0</v>
      </c>
      <c r="LA5" s="1">
        <v>0</v>
      </c>
      <c r="LB5" s="1">
        <v>0</v>
      </c>
      <c r="LC5" s="1">
        <v>0</v>
      </c>
      <c r="LD5" s="1">
        <v>0</v>
      </c>
      <c r="LE5" s="1">
        <v>0</v>
      </c>
      <c r="LF5" s="1">
        <v>0</v>
      </c>
      <c r="LG5" s="1">
        <v>0</v>
      </c>
      <c r="LH5" s="1">
        <v>0</v>
      </c>
      <c r="LI5" s="1">
        <v>0</v>
      </c>
      <c r="LJ5" s="1">
        <v>0</v>
      </c>
      <c r="LK5" s="1">
        <v>0</v>
      </c>
      <c r="LL5" s="1">
        <v>0</v>
      </c>
      <c r="LM5" s="1">
        <v>0</v>
      </c>
      <c r="LN5" s="1">
        <v>0</v>
      </c>
      <c r="LO5" s="1">
        <v>0</v>
      </c>
      <c r="LP5" s="1">
        <v>0</v>
      </c>
      <c r="LQ5" s="1">
        <v>0</v>
      </c>
      <c r="LR5" s="1">
        <v>0</v>
      </c>
      <c r="LS5" s="1">
        <v>0</v>
      </c>
      <c r="LT5" s="1">
        <v>0</v>
      </c>
      <c r="LU5" s="1">
        <v>0</v>
      </c>
      <c r="LV5" s="1">
        <v>0</v>
      </c>
      <c r="LW5" s="1">
        <v>0</v>
      </c>
      <c r="LX5" s="1">
        <v>0</v>
      </c>
      <c r="LY5" s="1">
        <v>0</v>
      </c>
      <c r="LZ5" s="1">
        <v>0</v>
      </c>
      <c r="MA5" s="1">
        <v>0</v>
      </c>
      <c r="MB5" s="1">
        <v>0</v>
      </c>
      <c r="MC5" s="1">
        <v>0</v>
      </c>
      <c r="MD5" s="1">
        <v>0</v>
      </c>
      <c r="ME5" s="1">
        <v>0</v>
      </c>
      <c r="MF5" s="1">
        <v>0</v>
      </c>
      <c r="MG5" s="1">
        <v>0</v>
      </c>
      <c r="MH5" s="1">
        <v>0</v>
      </c>
      <c r="MI5" s="1">
        <v>0</v>
      </c>
      <c r="MJ5" s="1">
        <v>0</v>
      </c>
      <c r="MK5" s="1">
        <v>0</v>
      </c>
      <c r="ML5" s="1">
        <v>0</v>
      </c>
      <c r="MM5" s="1">
        <v>0</v>
      </c>
      <c r="MN5" s="1">
        <v>0</v>
      </c>
      <c r="MO5" s="1">
        <v>0</v>
      </c>
      <c r="MP5" s="1">
        <v>0</v>
      </c>
      <c r="MQ5" s="1">
        <v>0</v>
      </c>
      <c r="MR5" s="1">
        <v>0</v>
      </c>
      <c r="MS5" s="1">
        <v>0</v>
      </c>
      <c r="MT5" s="1">
        <v>0</v>
      </c>
      <c r="MU5" s="1">
        <v>0</v>
      </c>
      <c r="MV5" s="1">
        <v>0</v>
      </c>
      <c r="MW5" s="1">
        <v>0</v>
      </c>
      <c r="MX5" s="1">
        <v>0</v>
      </c>
      <c r="MY5" s="1">
        <v>0</v>
      </c>
      <c r="MZ5" s="1">
        <v>0</v>
      </c>
      <c r="NA5" s="1">
        <v>0</v>
      </c>
      <c r="NB5" s="1">
        <v>0</v>
      </c>
      <c r="NC5" s="1">
        <v>0</v>
      </c>
      <c r="ND5" s="1">
        <v>0</v>
      </c>
      <c r="NE5" s="1">
        <v>0</v>
      </c>
      <c r="NF5" s="1">
        <v>0</v>
      </c>
      <c r="NG5" s="1">
        <v>0</v>
      </c>
      <c r="NH5" s="1">
        <v>0</v>
      </c>
      <c r="NI5" s="1">
        <v>0</v>
      </c>
      <c r="NJ5" s="1">
        <v>0</v>
      </c>
      <c r="NK5" s="1">
        <v>0</v>
      </c>
      <c r="NL5" s="1">
        <v>0</v>
      </c>
      <c r="NM5" s="1">
        <v>0</v>
      </c>
      <c r="NN5" s="1">
        <v>0</v>
      </c>
      <c r="NO5" s="1">
        <v>0</v>
      </c>
      <c r="NP5" s="1">
        <v>0</v>
      </c>
      <c r="NQ5" s="1">
        <v>0</v>
      </c>
      <c r="NR5" s="1">
        <v>0</v>
      </c>
      <c r="NS5" s="1">
        <v>0</v>
      </c>
      <c r="NT5" s="1">
        <v>0</v>
      </c>
      <c r="NU5" s="1">
        <v>0</v>
      </c>
      <c r="NV5" s="1">
        <v>0</v>
      </c>
      <c r="NW5" s="1">
        <v>0</v>
      </c>
      <c r="NX5" s="1">
        <v>0</v>
      </c>
      <c r="NY5" s="1">
        <v>0</v>
      </c>
      <c r="NZ5" s="1">
        <v>0</v>
      </c>
      <c r="OA5" s="1">
        <v>0</v>
      </c>
      <c r="OB5" s="1">
        <v>0</v>
      </c>
      <c r="OC5" s="1">
        <v>0</v>
      </c>
      <c r="OD5" s="1">
        <v>0</v>
      </c>
      <c r="OE5" s="1">
        <v>0</v>
      </c>
      <c r="OF5" s="1">
        <v>0</v>
      </c>
      <c r="OG5" s="1">
        <v>0</v>
      </c>
      <c r="OH5" s="1">
        <v>0</v>
      </c>
      <c r="OI5" s="1">
        <v>0</v>
      </c>
      <c r="OJ5" s="1">
        <v>0</v>
      </c>
      <c r="OK5" s="1">
        <v>0</v>
      </c>
      <c r="OL5" s="1">
        <v>0</v>
      </c>
      <c r="OM5" s="1">
        <v>0</v>
      </c>
      <c r="ON5" s="1">
        <v>0</v>
      </c>
      <c r="OO5" s="1">
        <v>0</v>
      </c>
      <c r="OP5" s="1">
        <v>0</v>
      </c>
      <c r="OQ5" s="1">
        <v>0</v>
      </c>
      <c r="OR5" s="1">
        <v>0</v>
      </c>
      <c r="OS5" s="1">
        <v>0</v>
      </c>
      <c r="OT5" s="1">
        <v>0</v>
      </c>
      <c r="OU5" s="1">
        <v>0</v>
      </c>
      <c r="OV5" s="1">
        <v>0</v>
      </c>
      <c r="OW5" s="1">
        <v>0</v>
      </c>
      <c r="OX5" s="1">
        <v>0</v>
      </c>
      <c r="OY5" s="1">
        <v>0</v>
      </c>
      <c r="OZ5" s="1">
        <v>0</v>
      </c>
      <c r="PA5" s="1">
        <v>0</v>
      </c>
      <c r="PB5" s="1">
        <v>0</v>
      </c>
      <c r="PC5" s="1">
        <v>0</v>
      </c>
      <c r="PD5" s="1">
        <v>0</v>
      </c>
      <c r="PE5" s="1">
        <v>0</v>
      </c>
      <c r="PF5" s="1">
        <v>0</v>
      </c>
    </row>
    <row r="6" spans="2:422" ht="15.6" x14ac:dyDescent="0.3">
      <c r="B6" s="5"/>
      <c r="D6" s="2"/>
    </row>
    <row r="7" spans="2:422" ht="19.95" customHeight="1" x14ac:dyDescent="0.35">
      <c r="B7" s="5"/>
      <c r="D7" s="9" t="s">
        <v>372</v>
      </c>
      <c r="E7" s="12" t="str">
        <f>_xlfn.XLOOKUP($E$5,'Data Karyawan'!$A$2:$A$124,'Data Karyawan'!$B$2:$B$124)</f>
        <v>Budi Santoso</v>
      </c>
      <c r="G7" s="9" t="s">
        <v>4</v>
      </c>
      <c r="H7" s="12" t="str">
        <f>_xlfn.XLOOKUP($E$5,'Data Karyawan'!$A$2:$A$124,'Data Karyawan'!$D$2:$D$124)</f>
        <v>Karyawan Tetap</v>
      </c>
      <c r="J7" s="9" t="s">
        <v>7</v>
      </c>
      <c r="K7" s="12" t="str">
        <f>_xlfn.XLOOKUP($E$5,'Data Karyawan'!$A$2:$A$124,'Data Karyawan'!$M$2:$M$124)</f>
        <v>Human Resources</v>
      </c>
      <c r="M7" s="9" t="s">
        <v>373</v>
      </c>
      <c r="N7" s="15">
        <f>_xlfn.XLOOKUP($E$5,'Data Karyawan'!$A$2:$A$124,'Data Karyawan'!$L$2:$L$124)</f>
        <v>0.97</v>
      </c>
      <c r="O7" s="8"/>
    </row>
    <row r="8" spans="2:422" ht="15.6" x14ac:dyDescent="0.3">
      <c r="B8" s="5"/>
      <c r="D8" s="2"/>
    </row>
    <row r="9" spans="2:422" ht="19.95" customHeight="1" x14ac:dyDescent="0.35">
      <c r="B9" s="5"/>
      <c r="D9" s="9" t="s">
        <v>347</v>
      </c>
      <c r="E9" s="12">
        <f>_xlfn.XLOOKUP($E$5,'Data Karyawan'!$A$2:$A$124,'Data Karyawan'!$K$2:$K$124)</f>
        <v>41</v>
      </c>
      <c r="G9" s="9" t="s">
        <v>5</v>
      </c>
      <c r="H9" s="13">
        <f>_xlfn.XLOOKUP($E$5,'Data Karyawan'!$A$2:$A$124,'Data Karyawan'!$E$2:$E$124)</f>
        <v>40452</v>
      </c>
      <c r="J9" s="9" t="s">
        <v>6</v>
      </c>
      <c r="K9" s="12" t="str">
        <f>_xlfn.XLOOKUP($E$5,'Data Karyawan'!$A$2:$A$124,'Data Karyawan'!$N$2:$N$124)</f>
        <v>Senior Manager</v>
      </c>
      <c r="M9" s="9" t="s">
        <v>343</v>
      </c>
      <c r="N9" s="14">
        <f>_xlfn.XLOOKUP($E$5,'Data Karyawan'!$A$2:$A$124,'Data Karyawan'!$Q$2:$Q$124)</f>
        <v>36000000</v>
      </c>
      <c r="O9" s="8"/>
    </row>
    <row r="10" spans="2:422" ht="15.6" x14ac:dyDescent="0.3">
      <c r="B10" s="5"/>
    </row>
    <row r="11" spans="2:422" ht="15.6" x14ac:dyDescent="0.3">
      <c r="B11" s="5"/>
    </row>
    <row r="12" spans="2:422" ht="19.95" customHeight="1" x14ac:dyDescent="0.3">
      <c r="B12" s="5"/>
      <c r="D12" s="30" t="s">
        <v>379</v>
      </c>
      <c r="E12" s="30"/>
      <c r="G12" s="30" t="s">
        <v>378</v>
      </c>
      <c r="H12" s="30"/>
      <c r="J12" s="31" t="s">
        <v>377</v>
      </c>
      <c r="K12" s="31"/>
      <c r="L12" s="31"/>
      <c r="M12" s="31"/>
      <c r="N12" s="31"/>
    </row>
    <row r="13" spans="2:422" ht="15.6" x14ac:dyDescent="0.3">
      <c r="B13" s="5"/>
    </row>
    <row r="14" spans="2:422" ht="15.6" x14ac:dyDescent="0.3">
      <c r="B14" s="5"/>
    </row>
    <row r="15" spans="2:422" ht="15.6" x14ac:dyDescent="0.3">
      <c r="B15" s="5"/>
    </row>
    <row r="16" spans="2:422" ht="15.6" x14ac:dyDescent="0.3">
      <c r="B16" s="5"/>
    </row>
    <row r="17" spans="2:14" ht="15.6" x14ac:dyDescent="0.3">
      <c r="B17" s="5"/>
    </row>
    <row r="18" spans="2:14" ht="15.6" x14ac:dyDescent="0.3">
      <c r="B18" s="5"/>
    </row>
    <row r="19" spans="2:14" ht="15.6" x14ac:dyDescent="0.3">
      <c r="B19" s="5"/>
    </row>
    <row r="20" spans="2:14" ht="15.6" x14ac:dyDescent="0.3">
      <c r="B20" s="5"/>
    </row>
    <row r="21" spans="2:14" ht="15.6" x14ac:dyDescent="0.3">
      <c r="B21" s="5"/>
    </row>
    <row r="22" spans="2:14" ht="15.6" x14ac:dyDescent="0.3">
      <c r="B22" s="5"/>
    </row>
    <row r="23" spans="2:14" ht="15.6" x14ac:dyDescent="0.3">
      <c r="B23" s="5"/>
    </row>
    <row r="24" spans="2:14" ht="15.6" x14ac:dyDescent="0.3">
      <c r="B24" s="5"/>
    </row>
    <row r="25" spans="2:14" ht="15.6" x14ac:dyDescent="0.3">
      <c r="B25" s="5"/>
    </row>
    <row r="26" spans="2:14" ht="15.6" x14ac:dyDescent="0.3">
      <c r="B26" s="5"/>
    </row>
    <row r="27" spans="2:14" ht="15.6" x14ac:dyDescent="0.3">
      <c r="B27" s="5"/>
    </row>
    <row r="28" spans="2:14" ht="18.600000000000001" x14ac:dyDescent="0.3">
      <c r="B28" s="5"/>
      <c r="D28" s="31" t="s">
        <v>374</v>
      </c>
      <c r="E28" s="31"/>
      <c r="G28" s="32" t="s">
        <v>383</v>
      </c>
      <c r="H28" s="32"/>
      <c r="J28" s="31" t="s">
        <v>376</v>
      </c>
      <c r="K28" s="31"/>
      <c r="M28" s="31" t="s">
        <v>375</v>
      </c>
      <c r="N28" s="31"/>
    </row>
    <row r="29" spans="2:14" ht="19.95" customHeight="1" x14ac:dyDescent="0.3">
      <c r="B29" s="5"/>
      <c r="D29" s="29"/>
      <c r="E29" s="29"/>
      <c r="F29" s="10"/>
      <c r="G29" s="29"/>
      <c r="H29" s="29"/>
      <c r="I29" s="10"/>
      <c r="J29" s="29"/>
      <c r="K29" s="29"/>
      <c r="L29" s="10"/>
      <c r="M29" s="29"/>
      <c r="N29" s="29"/>
    </row>
    <row r="30" spans="2:14" ht="15.6" x14ac:dyDescent="0.3">
      <c r="B30" s="5"/>
    </row>
    <row r="31" spans="2:14" ht="15.6" x14ac:dyDescent="0.3">
      <c r="B31" s="5"/>
    </row>
    <row r="32" spans="2:14" ht="15.6" x14ac:dyDescent="0.3">
      <c r="B32" s="5"/>
    </row>
    <row r="33" spans="2:2" ht="15.6" x14ac:dyDescent="0.3">
      <c r="B33" s="5"/>
    </row>
    <row r="34" spans="2:2" ht="15.6" x14ac:dyDescent="0.3">
      <c r="B34" s="5"/>
    </row>
    <row r="35" spans="2:2" ht="15.6" x14ac:dyDescent="0.3">
      <c r="B35" s="5"/>
    </row>
    <row r="36" spans="2:2" ht="15.6" x14ac:dyDescent="0.3">
      <c r="B36" s="5"/>
    </row>
    <row r="37" spans="2:2" ht="15.6" x14ac:dyDescent="0.3">
      <c r="B37" s="5"/>
    </row>
    <row r="38" spans="2:2" ht="15.6" x14ac:dyDescent="0.3">
      <c r="B38" s="5"/>
    </row>
    <row r="39" spans="2:2" ht="15.6" x14ac:dyDescent="0.3">
      <c r="B39" s="5"/>
    </row>
    <row r="40" spans="2:2" ht="15.6" x14ac:dyDescent="0.3">
      <c r="B40" s="5"/>
    </row>
    <row r="41" spans="2:2" ht="12.6" customHeight="1" x14ac:dyDescent="0.3">
      <c r="B41" s="5"/>
    </row>
    <row r="42" spans="2:2" ht="12.6" customHeight="1" x14ac:dyDescent="0.3">
      <c r="B42" s="5"/>
    </row>
    <row r="43" spans="2:2" ht="12.6" customHeight="1" x14ac:dyDescent="0.3">
      <c r="B43" s="5"/>
    </row>
    <row r="44" spans="2:2" ht="12.6" customHeight="1" x14ac:dyDescent="0.3">
      <c r="B44" s="5"/>
    </row>
    <row r="45" spans="2:2" ht="1.2" customHeight="1" x14ac:dyDescent="0.3"/>
  </sheetData>
  <sheetProtection sheet="1" pivotTables="0"/>
  <mergeCells count="13">
    <mergeCell ref="C1:H1"/>
    <mergeCell ref="D3:N3"/>
    <mergeCell ref="G29:H29"/>
    <mergeCell ref="D29:E29"/>
    <mergeCell ref="J29:K29"/>
    <mergeCell ref="M29:N29"/>
    <mergeCell ref="D12:E12"/>
    <mergeCell ref="G12:H12"/>
    <mergeCell ref="J12:N12"/>
    <mergeCell ref="D28:E28"/>
    <mergeCell ref="G28:H28"/>
    <mergeCell ref="J28:K28"/>
    <mergeCell ref="M28:N2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86C61CF-53C3-408F-A71B-E713C7C824CA}">
          <x14:formula1>
            <xm:f>'Data Karyawan'!$A$2:$A$124</xm:f>
          </x14:formula1>
          <xm:sqref>E5</xm:sqref>
        </x14:dataValidation>
      </x14:dataValidation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Karyawan</vt:lpstr>
      <vt:lpstr>Master Position</vt:lpstr>
      <vt:lpstr>Master Gender</vt:lpstr>
      <vt:lpstr>Master Salary</vt:lpstr>
      <vt:lpstr>Master Bonus</vt:lpstr>
      <vt:lpstr>Helper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Dicky Candra</dc:creator>
  <cp:lastModifiedBy>Dicky Candra</cp:lastModifiedBy>
  <dcterms:created xsi:type="dcterms:W3CDTF">2024-11-12T14:25:37Z</dcterms:created>
  <dcterms:modified xsi:type="dcterms:W3CDTF">2026-04-20T17:56:42Z</dcterms:modified>
</cp:coreProperties>
</file>